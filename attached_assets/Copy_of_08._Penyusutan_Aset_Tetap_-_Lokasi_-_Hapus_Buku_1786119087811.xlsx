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krindo\Downloads\"/>
    </mc:Choice>
  </mc:AlternateContent>
  <xr:revisionPtr revIDLastSave="0" documentId="13_ncr:1_{E8E5F2EA-1E1A-4006-BFFE-1BBE45B3C410}" xr6:coauthVersionLast="47" xr6:coauthVersionMax="47" xr10:uidLastSave="{00000000-0000-0000-0000-000000000000}"/>
  <bookViews>
    <workbookView xWindow="-110" yWindow="-110" windowWidth="19420" windowHeight="11500" xr2:uid="{91DA1B3A-1EC4-42F4-95CC-0D88D34B1778}"/>
  </bookViews>
  <sheets>
    <sheet name="Lokas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9" i="2" l="1"/>
  <c r="L325" i="2"/>
  <c r="L320" i="2"/>
  <c r="L313" i="2"/>
  <c r="L304" i="2"/>
  <c r="L342" i="2" s="1"/>
  <c r="O176" i="2"/>
  <c r="P176" i="2" s="1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O338" i="2" l="1"/>
  <c r="E338" i="2"/>
  <c r="D338" i="2"/>
  <c r="C338" i="2"/>
  <c r="O337" i="2"/>
  <c r="P337" i="2" s="1"/>
  <c r="E337" i="2"/>
  <c r="D337" i="2"/>
  <c r="C337" i="2"/>
  <c r="O336" i="2"/>
  <c r="E336" i="2"/>
  <c r="D336" i="2"/>
  <c r="C336" i="2"/>
  <c r="O335" i="2"/>
  <c r="E335" i="2"/>
  <c r="D335" i="2"/>
  <c r="C335" i="2"/>
  <c r="O334" i="2"/>
  <c r="P334" i="2" s="1"/>
  <c r="E334" i="2"/>
  <c r="D334" i="2"/>
  <c r="C334" i="2"/>
  <c r="O333" i="2"/>
  <c r="P333" i="2" s="1"/>
  <c r="E333" i="2"/>
  <c r="D333" i="2"/>
  <c r="C333" i="2"/>
  <c r="O332" i="2"/>
  <c r="E332" i="2"/>
  <c r="D332" i="2"/>
  <c r="C332" i="2"/>
  <c r="O331" i="2"/>
  <c r="P331" i="2" s="1"/>
  <c r="E331" i="2"/>
  <c r="D331" i="2"/>
  <c r="C331" i="2"/>
  <c r="O330" i="2"/>
  <c r="P330" i="2" s="1"/>
  <c r="E330" i="2"/>
  <c r="D330" i="2"/>
  <c r="C330" i="2"/>
  <c r="O329" i="2"/>
  <c r="E329" i="2"/>
  <c r="D329" i="2"/>
  <c r="C329" i="2"/>
  <c r="O328" i="2"/>
  <c r="E328" i="2"/>
  <c r="D328" i="2"/>
  <c r="C328" i="2"/>
  <c r="E324" i="2"/>
  <c r="D324" i="2"/>
  <c r="C324" i="2"/>
  <c r="E323" i="2"/>
  <c r="D323" i="2"/>
  <c r="C323" i="2"/>
  <c r="O319" i="2"/>
  <c r="E319" i="2"/>
  <c r="D319" i="2"/>
  <c r="C319" i="2"/>
  <c r="O318" i="2"/>
  <c r="P318" i="2" s="1"/>
  <c r="E318" i="2"/>
  <c r="D318" i="2"/>
  <c r="C318" i="2"/>
  <c r="O317" i="2"/>
  <c r="E317" i="2"/>
  <c r="D317" i="2"/>
  <c r="C317" i="2"/>
  <c r="O316" i="2"/>
  <c r="P316" i="2" s="1"/>
  <c r="E316" i="2"/>
  <c r="D316" i="2"/>
  <c r="C316" i="2"/>
  <c r="O312" i="2"/>
  <c r="E312" i="2"/>
  <c r="D312" i="2"/>
  <c r="C312" i="2"/>
  <c r="O311" i="2"/>
  <c r="E311" i="2"/>
  <c r="D311" i="2"/>
  <c r="C311" i="2"/>
  <c r="O310" i="2"/>
  <c r="P310" i="2" s="1"/>
  <c r="E310" i="2"/>
  <c r="D310" i="2"/>
  <c r="C310" i="2"/>
  <c r="O309" i="2"/>
  <c r="E309" i="2"/>
  <c r="D309" i="2"/>
  <c r="C309" i="2"/>
  <c r="O308" i="2"/>
  <c r="P308" i="2" s="1"/>
  <c r="E308" i="2"/>
  <c r="D308" i="2"/>
  <c r="C308" i="2"/>
  <c r="O307" i="2"/>
  <c r="P307" i="2" s="1"/>
  <c r="E307" i="2"/>
  <c r="D307" i="2"/>
  <c r="C307" i="2"/>
  <c r="O302" i="2"/>
  <c r="E302" i="2"/>
  <c r="D302" i="2"/>
  <c r="C302" i="2"/>
  <c r="O301" i="2"/>
  <c r="P301" i="2" s="1"/>
  <c r="E301" i="2"/>
  <c r="D301" i="2"/>
  <c r="C301" i="2"/>
  <c r="O300" i="2"/>
  <c r="P300" i="2" s="1"/>
  <c r="E300" i="2"/>
  <c r="D300" i="2"/>
  <c r="C300" i="2"/>
  <c r="O299" i="2"/>
  <c r="P299" i="2" s="1"/>
  <c r="E299" i="2"/>
  <c r="D299" i="2"/>
  <c r="C299" i="2"/>
  <c r="O298" i="2"/>
  <c r="P298" i="2" s="1"/>
  <c r="E298" i="2"/>
  <c r="D298" i="2"/>
  <c r="C298" i="2"/>
  <c r="O297" i="2"/>
  <c r="P297" i="2" s="1"/>
  <c r="E297" i="2"/>
  <c r="D297" i="2"/>
  <c r="C297" i="2"/>
  <c r="O296" i="2"/>
  <c r="P296" i="2" s="1"/>
  <c r="E296" i="2"/>
  <c r="D296" i="2"/>
  <c r="C296" i="2"/>
  <c r="P280" i="2"/>
  <c r="E280" i="2"/>
  <c r="D280" i="2"/>
  <c r="C280" i="2"/>
  <c r="P279" i="2"/>
  <c r="E279" i="2"/>
  <c r="D279" i="2"/>
  <c r="C279" i="2"/>
  <c r="O278" i="2"/>
  <c r="E278" i="2"/>
  <c r="D278" i="2"/>
  <c r="C278" i="2"/>
  <c r="O277" i="2"/>
  <c r="P277" i="2" s="1"/>
  <c r="E277" i="2"/>
  <c r="D277" i="2"/>
  <c r="C277" i="2"/>
  <c r="O276" i="2"/>
  <c r="P276" i="2" s="1"/>
  <c r="E276" i="2"/>
  <c r="D276" i="2"/>
  <c r="C276" i="2"/>
  <c r="O275" i="2"/>
  <c r="P275" i="2" s="1"/>
  <c r="E275" i="2"/>
  <c r="D275" i="2"/>
  <c r="C275" i="2"/>
  <c r="O274" i="2"/>
  <c r="E274" i="2"/>
  <c r="D274" i="2"/>
  <c r="C274" i="2"/>
  <c r="O273" i="2"/>
  <c r="E273" i="2"/>
  <c r="D273" i="2"/>
  <c r="C273" i="2"/>
  <c r="O272" i="2"/>
  <c r="P272" i="2" s="1"/>
  <c r="E272" i="2"/>
  <c r="D272" i="2"/>
  <c r="C272" i="2"/>
  <c r="O271" i="2"/>
  <c r="E271" i="2"/>
  <c r="D271" i="2"/>
  <c r="C271" i="2"/>
  <c r="O270" i="2"/>
  <c r="P270" i="2" s="1"/>
  <c r="E270" i="2"/>
  <c r="D270" i="2"/>
  <c r="C270" i="2"/>
  <c r="O269" i="2"/>
  <c r="E269" i="2"/>
  <c r="D269" i="2"/>
  <c r="C269" i="2"/>
  <c r="O268" i="2"/>
  <c r="E268" i="2"/>
  <c r="D268" i="2"/>
  <c r="C268" i="2"/>
  <c r="O267" i="2"/>
  <c r="E267" i="2"/>
  <c r="D267" i="2"/>
  <c r="C267" i="2"/>
  <c r="O266" i="2"/>
  <c r="P266" i="2" s="1"/>
  <c r="E266" i="2"/>
  <c r="D266" i="2"/>
  <c r="C266" i="2"/>
  <c r="O265" i="2"/>
  <c r="E265" i="2"/>
  <c r="D265" i="2"/>
  <c r="C265" i="2"/>
  <c r="O264" i="2"/>
  <c r="P264" i="2" s="1"/>
  <c r="E264" i="2"/>
  <c r="D264" i="2"/>
  <c r="C264" i="2"/>
  <c r="O263" i="2"/>
  <c r="P263" i="2" s="1"/>
  <c r="E263" i="2"/>
  <c r="D263" i="2"/>
  <c r="C263" i="2"/>
  <c r="O262" i="2"/>
  <c r="P262" i="2" s="1"/>
  <c r="E262" i="2"/>
  <c r="D262" i="2"/>
  <c r="C262" i="2"/>
  <c r="O261" i="2"/>
  <c r="E261" i="2"/>
  <c r="D261" i="2"/>
  <c r="C261" i="2"/>
  <c r="O260" i="2"/>
  <c r="E260" i="2"/>
  <c r="D260" i="2"/>
  <c r="C260" i="2"/>
  <c r="O259" i="2"/>
  <c r="E259" i="2"/>
  <c r="D259" i="2"/>
  <c r="C259" i="2"/>
  <c r="O258" i="2"/>
  <c r="P258" i="2" s="1"/>
  <c r="E258" i="2"/>
  <c r="D258" i="2"/>
  <c r="C258" i="2"/>
  <c r="O257" i="2"/>
  <c r="P257" i="2" s="1"/>
  <c r="E257" i="2"/>
  <c r="D257" i="2"/>
  <c r="C257" i="2"/>
  <c r="O256" i="2"/>
  <c r="E256" i="2"/>
  <c r="D256" i="2"/>
  <c r="C256" i="2"/>
  <c r="O255" i="2"/>
  <c r="E255" i="2"/>
  <c r="D255" i="2"/>
  <c r="C255" i="2"/>
  <c r="O254" i="2"/>
  <c r="P254" i="2" s="1"/>
  <c r="E254" i="2"/>
  <c r="D254" i="2"/>
  <c r="C254" i="2"/>
  <c r="O253" i="2"/>
  <c r="E253" i="2"/>
  <c r="D253" i="2"/>
  <c r="C253" i="2"/>
  <c r="O252" i="2"/>
  <c r="P252" i="2" s="1"/>
  <c r="E252" i="2"/>
  <c r="D252" i="2"/>
  <c r="C252" i="2"/>
  <c r="O251" i="2"/>
  <c r="E251" i="2"/>
  <c r="D251" i="2"/>
  <c r="C251" i="2"/>
  <c r="O250" i="2"/>
  <c r="E250" i="2"/>
  <c r="D250" i="2"/>
  <c r="C250" i="2"/>
  <c r="O249" i="2"/>
  <c r="E249" i="2"/>
  <c r="D249" i="2"/>
  <c r="C249" i="2"/>
  <c r="O248" i="2"/>
  <c r="P248" i="2" s="1"/>
  <c r="E248" i="2"/>
  <c r="D248" i="2"/>
  <c r="C248" i="2"/>
  <c r="O247" i="2"/>
  <c r="E247" i="2"/>
  <c r="D247" i="2"/>
  <c r="C247" i="2"/>
  <c r="O246" i="2"/>
  <c r="P246" i="2" s="1"/>
  <c r="E246" i="2"/>
  <c r="D246" i="2"/>
  <c r="C246" i="2"/>
  <c r="O245" i="2"/>
  <c r="P245" i="2" s="1"/>
  <c r="E245" i="2"/>
  <c r="D245" i="2"/>
  <c r="C245" i="2"/>
  <c r="O244" i="2"/>
  <c r="E244" i="2"/>
  <c r="D244" i="2"/>
  <c r="C244" i="2"/>
  <c r="O243" i="2"/>
  <c r="P243" i="2" s="1"/>
  <c r="E243" i="2"/>
  <c r="D243" i="2"/>
  <c r="C243" i="2"/>
  <c r="O242" i="2"/>
  <c r="P242" i="2" s="1"/>
  <c r="E242" i="2"/>
  <c r="D242" i="2"/>
  <c r="C242" i="2"/>
  <c r="O241" i="2"/>
  <c r="E241" i="2"/>
  <c r="D241" i="2"/>
  <c r="C241" i="2"/>
  <c r="O240" i="2"/>
  <c r="P240" i="2" s="1"/>
  <c r="E240" i="2"/>
  <c r="D240" i="2"/>
  <c r="C240" i="2"/>
  <c r="O239" i="2"/>
  <c r="P239" i="2" s="1"/>
  <c r="E239" i="2"/>
  <c r="D239" i="2"/>
  <c r="C239" i="2"/>
  <c r="O238" i="2"/>
  <c r="P238" i="2" s="1"/>
  <c r="E238" i="2"/>
  <c r="D238" i="2"/>
  <c r="C238" i="2"/>
  <c r="O237" i="2"/>
  <c r="E237" i="2"/>
  <c r="D237" i="2"/>
  <c r="C237" i="2"/>
  <c r="O236" i="2"/>
  <c r="P236" i="2" s="1"/>
  <c r="E236" i="2"/>
  <c r="D236" i="2"/>
  <c r="C236" i="2"/>
  <c r="O235" i="2"/>
  <c r="P235" i="2" s="1"/>
  <c r="E235" i="2"/>
  <c r="D235" i="2"/>
  <c r="C235" i="2"/>
  <c r="O234" i="2"/>
  <c r="P234" i="2" s="1"/>
  <c r="E234" i="2"/>
  <c r="D234" i="2"/>
  <c r="C234" i="2"/>
  <c r="O233" i="2"/>
  <c r="P233" i="2" s="1"/>
  <c r="E233" i="2"/>
  <c r="D233" i="2"/>
  <c r="C233" i="2"/>
  <c r="O232" i="2"/>
  <c r="E232" i="2"/>
  <c r="D232" i="2"/>
  <c r="C232" i="2"/>
  <c r="O231" i="2"/>
  <c r="E231" i="2"/>
  <c r="D231" i="2"/>
  <c r="C231" i="2"/>
  <c r="O230" i="2"/>
  <c r="P230" i="2" s="1"/>
  <c r="E230" i="2"/>
  <c r="D230" i="2"/>
  <c r="C230" i="2"/>
  <c r="O229" i="2"/>
  <c r="E229" i="2"/>
  <c r="D229" i="2"/>
  <c r="C229" i="2"/>
  <c r="O228" i="2"/>
  <c r="E228" i="2"/>
  <c r="D228" i="2"/>
  <c r="C228" i="2"/>
  <c r="O227" i="2"/>
  <c r="P227" i="2" s="1"/>
  <c r="E227" i="2"/>
  <c r="D227" i="2"/>
  <c r="C227" i="2"/>
  <c r="O226" i="2"/>
  <c r="P226" i="2" s="1"/>
  <c r="E226" i="2"/>
  <c r="D226" i="2"/>
  <c r="C226" i="2"/>
  <c r="O225" i="2"/>
  <c r="E225" i="2"/>
  <c r="D225" i="2"/>
  <c r="C225" i="2"/>
  <c r="O224" i="2"/>
  <c r="P224" i="2" s="1"/>
  <c r="E224" i="2"/>
  <c r="D224" i="2"/>
  <c r="C224" i="2"/>
  <c r="O223" i="2"/>
  <c r="E223" i="2"/>
  <c r="D223" i="2"/>
  <c r="C223" i="2"/>
  <c r="O222" i="2"/>
  <c r="E222" i="2"/>
  <c r="D222" i="2"/>
  <c r="C222" i="2"/>
  <c r="O221" i="2"/>
  <c r="P221" i="2" s="1"/>
  <c r="E221" i="2"/>
  <c r="D221" i="2"/>
  <c r="C221" i="2"/>
  <c r="O220" i="2"/>
  <c r="E220" i="2"/>
  <c r="D220" i="2"/>
  <c r="C220" i="2"/>
  <c r="O219" i="2"/>
  <c r="E219" i="2"/>
  <c r="D219" i="2"/>
  <c r="C219" i="2"/>
  <c r="O218" i="2"/>
  <c r="P218" i="2" s="1"/>
  <c r="E218" i="2"/>
  <c r="D218" i="2"/>
  <c r="C218" i="2"/>
  <c r="O217" i="2"/>
  <c r="P217" i="2" s="1"/>
  <c r="E217" i="2"/>
  <c r="D217" i="2"/>
  <c r="C217" i="2"/>
  <c r="O216" i="2"/>
  <c r="E216" i="2"/>
  <c r="D216" i="2"/>
  <c r="C216" i="2"/>
  <c r="O215" i="2"/>
  <c r="P215" i="2" s="1"/>
  <c r="E215" i="2"/>
  <c r="D215" i="2"/>
  <c r="C215" i="2"/>
  <c r="O214" i="2"/>
  <c r="E214" i="2"/>
  <c r="D214" i="2"/>
  <c r="C214" i="2"/>
  <c r="O213" i="2"/>
  <c r="E213" i="2"/>
  <c r="D213" i="2"/>
  <c r="C213" i="2"/>
  <c r="O212" i="2"/>
  <c r="E212" i="2"/>
  <c r="D212" i="2"/>
  <c r="C212" i="2"/>
  <c r="O211" i="2"/>
  <c r="E211" i="2"/>
  <c r="D211" i="2"/>
  <c r="C211" i="2"/>
  <c r="O210" i="2"/>
  <c r="P210" i="2" s="1"/>
  <c r="E210" i="2"/>
  <c r="D210" i="2"/>
  <c r="C210" i="2"/>
  <c r="O209" i="2"/>
  <c r="E209" i="2"/>
  <c r="D209" i="2"/>
  <c r="C209" i="2"/>
  <c r="O208" i="2"/>
  <c r="E208" i="2"/>
  <c r="D208" i="2"/>
  <c r="C208" i="2"/>
  <c r="O207" i="2"/>
  <c r="E207" i="2"/>
  <c r="D207" i="2"/>
  <c r="C207" i="2"/>
  <c r="O206" i="2"/>
  <c r="P206" i="2" s="1"/>
  <c r="E206" i="2"/>
  <c r="D206" i="2"/>
  <c r="C206" i="2"/>
  <c r="O205" i="2"/>
  <c r="P205" i="2" s="1"/>
  <c r="E205" i="2"/>
  <c r="D205" i="2"/>
  <c r="C205" i="2"/>
  <c r="O204" i="2"/>
  <c r="P204" i="2" s="1"/>
  <c r="E204" i="2"/>
  <c r="D204" i="2"/>
  <c r="C204" i="2"/>
  <c r="O203" i="2"/>
  <c r="P203" i="2" s="1"/>
  <c r="E203" i="2"/>
  <c r="D203" i="2"/>
  <c r="C203" i="2"/>
  <c r="O202" i="2"/>
  <c r="E202" i="2"/>
  <c r="D202" i="2"/>
  <c r="C202" i="2"/>
  <c r="O201" i="2"/>
  <c r="P201" i="2" s="1"/>
  <c r="E201" i="2"/>
  <c r="D201" i="2"/>
  <c r="C201" i="2"/>
  <c r="O200" i="2"/>
  <c r="E200" i="2"/>
  <c r="D200" i="2"/>
  <c r="C200" i="2"/>
  <c r="O199" i="2"/>
  <c r="E199" i="2"/>
  <c r="D199" i="2"/>
  <c r="C199" i="2"/>
  <c r="O198" i="2"/>
  <c r="P198" i="2" s="1"/>
  <c r="E198" i="2"/>
  <c r="D198" i="2"/>
  <c r="C198" i="2"/>
  <c r="O197" i="2"/>
  <c r="E197" i="2"/>
  <c r="D197" i="2"/>
  <c r="C197" i="2"/>
  <c r="O196" i="2"/>
  <c r="E196" i="2"/>
  <c r="D196" i="2"/>
  <c r="C196" i="2"/>
  <c r="O195" i="2"/>
  <c r="P195" i="2" s="1"/>
  <c r="E195" i="2"/>
  <c r="D195" i="2"/>
  <c r="C195" i="2"/>
  <c r="O194" i="2"/>
  <c r="P194" i="2" s="1"/>
  <c r="E194" i="2"/>
  <c r="D194" i="2"/>
  <c r="C194" i="2"/>
  <c r="O193" i="2"/>
  <c r="P193" i="2" s="1"/>
  <c r="E193" i="2"/>
  <c r="D193" i="2"/>
  <c r="C193" i="2"/>
  <c r="O192" i="2"/>
  <c r="P192" i="2" s="1"/>
  <c r="E192" i="2"/>
  <c r="D192" i="2"/>
  <c r="C192" i="2"/>
  <c r="O191" i="2"/>
  <c r="P191" i="2" s="1"/>
  <c r="E191" i="2"/>
  <c r="D191" i="2"/>
  <c r="C191" i="2"/>
  <c r="O190" i="2"/>
  <c r="P190" i="2" s="1"/>
  <c r="E190" i="2"/>
  <c r="D190" i="2"/>
  <c r="C190" i="2"/>
  <c r="O189" i="2"/>
  <c r="P189" i="2" s="1"/>
  <c r="E189" i="2"/>
  <c r="D189" i="2"/>
  <c r="C189" i="2"/>
  <c r="O188" i="2"/>
  <c r="P188" i="2" s="1"/>
  <c r="E188" i="2"/>
  <c r="D188" i="2"/>
  <c r="C188" i="2"/>
  <c r="O187" i="2"/>
  <c r="P187" i="2" s="1"/>
  <c r="E187" i="2"/>
  <c r="D187" i="2"/>
  <c r="C187" i="2"/>
  <c r="O186" i="2"/>
  <c r="E186" i="2"/>
  <c r="D186" i="2"/>
  <c r="C186" i="2"/>
  <c r="O185" i="2"/>
  <c r="E185" i="2"/>
  <c r="D185" i="2"/>
  <c r="C185" i="2"/>
  <c r="O184" i="2"/>
  <c r="P184" i="2" s="1"/>
  <c r="E184" i="2"/>
  <c r="D184" i="2"/>
  <c r="C184" i="2"/>
  <c r="O183" i="2"/>
  <c r="P183" i="2" s="1"/>
  <c r="E183" i="2"/>
  <c r="D183" i="2"/>
  <c r="C183" i="2"/>
  <c r="O182" i="2"/>
  <c r="P182" i="2" s="1"/>
  <c r="E182" i="2"/>
  <c r="D182" i="2"/>
  <c r="C182" i="2"/>
  <c r="O181" i="2"/>
  <c r="P181" i="2" s="1"/>
  <c r="E181" i="2"/>
  <c r="D181" i="2"/>
  <c r="C181" i="2"/>
  <c r="O180" i="2"/>
  <c r="P180" i="2" s="1"/>
  <c r="E180" i="2"/>
  <c r="D180" i="2"/>
  <c r="C180" i="2"/>
  <c r="A180" i="2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O179" i="2"/>
  <c r="E179" i="2"/>
  <c r="D179" i="2"/>
  <c r="C179" i="2"/>
  <c r="O175" i="2"/>
  <c r="P175" i="2" s="1"/>
  <c r="E175" i="2"/>
  <c r="D175" i="2"/>
  <c r="C175" i="2"/>
  <c r="O174" i="2"/>
  <c r="E174" i="2"/>
  <c r="D174" i="2"/>
  <c r="C174" i="2"/>
  <c r="O173" i="2"/>
  <c r="P173" i="2" s="1"/>
  <c r="E173" i="2"/>
  <c r="D173" i="2"/>
  <c r="C173" i="2"/>
  <c r="O172" i="2"/>
  <c r="P172" i="2" s="1"/>
  <c r="E172" i="2"/>
  <c r="D172" i="2"/>
  <c r="C172" i="2"/>
  <c r="O171" i="2"/>
  <c r="P171" i="2" s="1"/>
  <c r="E171" i="2"/>
  <c r="D171" i="2"/>
  <c r="C171" i="2"/>
  <c r="O170" i="2"/>
  <c r="P170" i="2" s="1"/>
  <c r="E170" i="2"/>
  <c r="D170" i="2"/>
  <c r="C170" i="2"/>
  <c r="O169" i="2"/>
  <c r="E169" i="2"/>
  <c r="D169" i="2"/>
  <c r="C169" i="2"/>
  <c r="O168" i="2"/>
  <c r="P168" i="2" s="1"/>
  <c r="E168" i="2"/>
  <c r="D168" i="2"/>
  <c r="C168" i="2"/>
  <c r="O167" i="2"/>
  <c r="P167" i="2" s="1"/>
  <c r="E167" i="2"/>
  <c r="D167" i="2"/>
  <c r="C167" i="2"/>
  <c r="O166" i="2"/>
  <c r="E166" i="2"/>
  <c r="D166" i="2"/>
  <c r="C166" i="2"/>
  <c r="O165" i="2"/>
  <c r="E165" i="2"/>
  <c r="D165" i="2"/>
  <c r="C165" i="2"/>
  <c r="O164" i="2"/>
  <c r="P164" i="2" s="1"/>
  <c r="E164" i="2"/>
  <c r="D164" i="2"/>
  <c r="C164" i="2"/>
  <c r="O163" i="2"/>
  <c r="P163" i="2" s="1"/>
  <c r="E163" i="2"/>
  <c r="D163" i="2"/>
  <c r="C163" i="2"/>
  <c r="O162" i="2"/>
  <c r="E162" i="2"/>
  <c r="D162" i="2"/>
  <c r="C162" i="2"/>
  <c r="O161" i="2"/>
  <c r="P161" i="2" s="1"/>
  <c r="E161" i="2"/>
  <c r="D161" i="2"/>
  <c r="C161" i="2"/>
  <c r="O160" i="2"/>
  <c r="E160" i="2"/>
  <c r="D160" i="2"/>
  <c r="C160" i="2"/>
  <c r="O159" i="2"/>
  <c r="P159" i="2" s="1"/>
  <c r="E159" i="2"/>
  <c r="D159" i="2"/>
  <c r="C159" i="2"/>
  <c r="O158" i="2"/>
  <c r="E158" i="2"/>
  <c r="D158" i="2"/>
  <c r="C158" i="2"/>
  <c r="O157" i="2"/>
  <c r="E157" i="2"/>
  <c r="D157" i="2"/>
  <c r="C157" i="2"/>
  <c r="O156" i="2"/>
  <c r="P156" i="2" s="1"/>
  <c r="E156" i="2"/>
  <c r="D156" i="2"/>
  <c r="C156" i="2"/>
  <c r="O155" i="2"/>
  <c r="E155" i="2"/>
  <c r="D155" i="2"/>
  <c r="C155" i="2"/>
  <c r="O154" i="2"/>
  <c r="E154" i="2"/>
  <c r="D154" i="2"/>
  <c r="C154" i="2"/>
  <c r="O153" i="2"/>
  <c r="E153" i="2"/>
  <c r="D153" i="2"/>
  <c r="C153" i="2"/>
  <c r="O152" i="2"/>
  <c r="P152" i="2" s="1"/>
  <c r="E152" i="2"/>
  <c r="D152" i="2"/>
  <c r="C152" i="2"/>
  <c r="O151" i="2"/>
  <c r="P151" i="2" s="1"/>
  <c r="E151" i="2"/>
  <c r="D151" i="2"/>
  <c r="C151" i="2"/>
  <c r="O150" i="2"/>
  <c r="E150" i="2"/>
  <c r="D150" i="2"/>
  <c r="C150" i="2"/>
  <c r="O149" i="2"/>
  <c r="E149" i="2"/>
  <c r="D149" i="2"/>
  <c r="C149" i="2"/>
  <c r="O148" i="2"/>
  <c r="P148" i="2" s="1"/>
  <c r="E148" i="2"/>
  <c r="D148" i="2"/>
  <c r="C148" i="2"/>
  <c r="O147" i="2"/>
  <c r="E147" i="2"/>
  <c r="D147" i="2"/>
  <c r="C147" i="2"/>
  <c r="O146" i="2"/>
  <c r="P146" i="2" s="1"/>
  <c r="E146" i="2"/>
  <c r="D146" i="2"/>
  <c r="C146" i="2"/>
  <c r="O145" i="2"/>
  <c r="E145" i="2"/>
  <c r="D145" i="2"/>
  <c r="C145" i="2"/>
  <c r="O144" i="2"/>
  <c r="P144" i="2" s="1"/>
  <c r="E144" i="2"/>
  <c r="D144" i="2"/>
  <c r="C144" i="2"/>
  <c r="O143" i="2"/>
  <c r="E143" i="2"/>
  <c r="D143" i="2"/>
  <c r="C143" i="2"/>
  <c r="O142" i="2"/>
  <c r="E142" i="2"/>
  <c r="D142" i="2"/>
  <c r="C142" i="2"/>
  <c r="O141" i="2"/>
  <c r="E141" i="2"/>
  <c r="D141" i="2"/>
  <c r="C141" i="2"/>
  <c r="O140" i="2"/>
  <c r="E140" i="2"/>
  <c r="D140" i="2"/>
  <c r="C140" i="2"/>
  <c r="O139" i="2"/>
  <c r="P139" i="2" s="1"/>
  <c r="E139" i="2"/>
  <c r="D139" i="2"/>
  <c r="C139" i="2"/>
  <c r="O138" i="2"/>
  <c r="E138" i="2"/>
  <c r="D138" i="2"/>
  <c r="C138" i="2"/>
  <c r="O137" i="2"/>
  <c r="P137" i="2" s="1"/>
  <c r="E137" i="2"/>
  <c r="D137" i="2"/>
  <c r="C137" i="2"/>
  <c r="O136" i="2"/>
  <c r="E136" i="2"/>
  <c r="D136" i="2"/>
  <c r="C136" i="2"/>
  <c r="O135" i="2"/>
  <c r="P135" i="2" s="1"/>
  <c r="E135" i="2"/>
  <c r="D135" i="2"/>
  <c r="C135" i="2"/>
  <c r="O134" i="2"/>
  <c r="P134" i="2" s="1"/>
  <c r="E134" i="2"/>
  <c r="D134" i="2"/>
  <c r="C134" i="2"/>
  <c r="O133" i="2"/>
  <c r="E133" i="2"/>
  <c r="D133" i="2"/>
  <c r="C133" i="2"/>
  <c r="O132" i="2"/>
  <c r="P132" i="2" s="1"/>
  <c r="E132" i="2"/>
  <c r="D132" i="2"/>
  <c r="C132" i="2"/>
  <c r="O131" i="2"/>
  <c r="E131" i="2"/>
  <c r="D131" i="2"/>
  <c r="C131" i="2"/>
  <c r="O130" i="2"/>
  <c r="E130" i="2"/>
  <c r="D130" i="2"/>
  <c r="C130" i="2"/>
  <c r="O129" i="2"/>
  <c r="E129" i="2"/>
  <c r="D129" i="2"/>
  <c r="C129" i="2"/>
  <c r="O128" i="2"/>
  <c r="E128" i="2"/>
  <c r="D128" i="2"/>
  <c r="C128" i="2"/>
  <c r="O127" i="2"/>
  <c r="P127" i="2" s="1"/>
  <c r="E127" i="2"/>
  <c r="D127" i="2"/>
  <c r="C127" i="2"/>
  <c r="A127" i="2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O126" i="2"/>
  <c r="P126" i="2" s="1"/>
  <c r="E126" i="2"/>
  <c r="D126" i="2"/>
  <c r="C126" i="2"/>
  <c r="O122" i="2"/>
  <c r="E122" i="2"/>
  <c r="D122" i="2"/>
  <c r="C122" i="2"/>
  <c r="O121" i="2"/>
  <c r="P121" i="2" s="1"/>
  <c r="E121" i="2"/>
  <c r="D121" i="2"/>
  <c r="C121" i="2"/>
  <c r="O120" i="2"/>
  <c r="P120" i="2" s="1"/>
  <c r="E120" i="2"/>
  <c r="D120" i="2"/>
  <c r="C120" i="2"/>
  <c r="O119" i="2"/>
  <c r="P119" i="2" s="1"/>
  <c r="E119" i="2"/>
  <c r="D119" i="2"/>
  <c r="C119" i="2"/>
  <c r="O118" i="2"/>
  <c r="P118" i="2" s="1"/>
  <c r="E118" i="2"/>
  <c r="D118" i="2"/>
  <c r="C118" i="2"/>
  <c r="O117" i="2"/>
  <c r="P117" i="2" s="1"/>
  <c r="E117" i="2"/>
  <c r="D117" i="2"/>
  <c r="C117" i="2"/>
  <c r="O116" i="2"/>
  <c r="P116" i="2" s="1"/>
  <c r="E116" i="2"/>
  <c r="D116" i="2"/>
  <c r="C116" i="2"/>
  <c r="O115" i="2"/>
  <c r="P115" i="2" s="1"/>
  <c r="E115" i="2"/>
  <c r="D115" i="2"/>
  <c r="C115" i="2"/>
  <c r="O114" i="2"/>
  <c r="E114" i="2"/>
  <c r="D114" i="2"/>
  <c r="C114" i="2"/>
  <c r="O113" i="2"/>
  <c r="E113" i="2"/>
  <c r="D113" i="2"/>
  <c r="C113" i="2"/>
  <c r="O112" i="2"/>
  <c r="E112" i="2"/>
  <c r="D112" i="2"/>
  <c r="C112" i="2"/>
  <c r="O111" i="2"/>
  <c r="E111" i="2"/>
  <c r="D111" i="2"/>
  <c r="C111" i="2"/>
  <c r="O110" i="2"/>
  <c r="E110" i="2"/>
  <c r="D110" i="2"/>
  <c r="C110" i="2"/>
  <c r="O109" i="2"/>
  <c r="P109" i="2" s="1"/>
  <c r="E109" i="2"/>
  <c r="D109" i="2"/>
  <c r="C109" i="2"/>
  <c r="O108" i="2"/>
  <c r="E108" i="2"/>
  <c r="D108" i="2"/>
  <c r="C108" i="2"/>
  <c r="O107" i="2"/>
  <c r="E107" i="2"/>
  <c r="D107" i="2"/>
  <c r="C107" i="2"/>
  <c r="O106" i="2"/>
  <c r="E106" i="2"/>
  <c r="D106" i="2"/>
  <c r="C106" i="2"/>
  <c r="O105" i="2"/>
  <c r="P105" i="2" s="1"/>
  <c r="E105" i="2"/>
  <c r="D105" i="2"/>
  <c r="C105" i="2"/>
  <c r="O104" i="2"/>
  <c r="E104" i="2"/>
  <c r="D104" i="2"/>
  <c r="C104" i="2"/>
  <c r="O103" i="2"/>
  <c r="E103" i="2"/>
  <c r="D103" i="2"/>
  <c r="C103" i="2"/>
  <c r="O102" i="2"/>
  <c r="P102" i="2" s="1"/>
  <c r="E102" i="2"/>
  <c r="D102" i="2"/>
  <c r="C102" i="2"/>
  <c r="O101" i="2"/>
  <c r="E101" i="2"/>
  <c r="D101" i="2"/>
  <c r="C101" i="2"/>
  <c r="O100" i="2"/>
  <c r="P100" i="2" s="1"/>
  <c r="E100" i="2"/>
  <c r="D100" i="2"/>
  <c r="C100" i="2"/>
  <c r="O99" i="2"/>
  <c r="E99" i="2"/>
  <c r="D99" i="2"/>
  <c r="C99" i="2"/>
  <c r="O98" i="2"/>
  <c r="P98" i="2" s="1"/>
  <c r="E98" i="2"/>
  <c r="D98" i="2"/>
  <c r="C98" i="2"/>
  <c r="O97" i="2"/>
  <c r="P97" i="2" s="1"/>
  <c r="E97" i="2"/>
  <c r="D97" i="2"/>
  <c r="C97" i="2"/>
  <c r="O96" i="2"/>
  <c r="E96" i="2"/>
  <c r="D96" i="2"/>
  <c r="C96" i="2"/>
  <c r="O95" i="2"/>
  <c r="P95" i="2" s="1"/>
  <c r="E95" i="2"/>
  <c r="D95" i="2"/>
  <c r="C95" i="2"/>
  <c r="O94" i="2"/>
  <c r="P94" i="2" s="1"/>
  <c r="E94" i="2"/>
  <c r="D94" i="2"/>
  <c r="C94" i="2"/>
  <c r="O93" i="2"/>
  <c r="P93" i="2" s="1"/>
  <c r="E93" i="2"/>
  <c r="D93" i="2"/>
  <c r="C93" i="2"/>
  <c r="O92" i="2"/>
  <c r="E92" i="2"/>
  <c r="D92" i="2"/>
  <c r="C92" i="2"/>
  <c r="O91" i="2"/>
  <c r="E91" i="2"/>
  <c r="D91" i="2"/>
  <c r="C91" i="2"/>
  <c r="O90" i="2"/>
  <c r="P90" i="2" s="1"/>
  <c r="E90" i="2"/>
  <c r="D90" i="2"/>
  <c r="C90" i="2"/>
  <c r="O89" i="2"/>
  <c r="P89" i="2" s="1"/>
  <c r="E89" i="2"/>
  <c r="D89" i="2"/>
  <c r="C89" i="2"/>
  <c r="O88" i="2"/>
  <c r="P88" i="2" s="1"/>
  <c r="E88" i="2"/>
  <c r="D88" i="2"/>
  <c r="C88" i="2"/>
  <c r="O87" i="2"/>
  <c r="P87" i="2" s="1"/>
  <c r="E87" i="2"/>
  <c r="D87" i="2"/>
  <c r="C87" i="2"/>
  <c r="O86" i="2"/>
  <c r="E86" i="2"/>
  <c r="D86" i="2"/>
  <c r="C86" i="2"/>
  <c r="O85" i="2"/>
  <c r="E85" i="2"/>
  <c r="D85" i="2"/>
  <c r="C85" i="2"/>
  <c r="O84" i="2"/>
  <c r="P84" i="2" s="1"/>
  <c r="E84" i="2"/>
  <c r="D84" i="2"/>
  <c r="C84" i="2"/>
  <c r="O83" i="2"/>
  <c r="E83" i="2"/>
  <c r="D83" i="2"/>
  <c r="C83" i="2"/>
  <c r="O82" i="2"/>
  <c r="P82" i="2" s="1"/>
  <c r="E82" i="2"/>
  <c r="D82" i="2"/>
  <c r="C82" i="2"/>
  <c r="O81" i="2"/>
  <c r="P81" i="2" s="1"/>
  <c r="E81" i="2"/>
  <c r="D81" i="2"/>
  <c r="C81" i="2"/>
  <c r="O80" i="2"/>
  <c r="E80" i="2"/>
  <c r="D80" i="2"/>
  <c r="C80" i="2"/>
  <c r="O79" i="2"/>
  <c r="P79" i="2" s="1"/>
  <c r="E79" i="2"/>
  <c r="D79" i="2"/>
  <c r="C79" i="2"/>
  <c r="O78" i="2"/>
  <c r="P78" i="2" s="1"/>
  <c r="E78" i="2"/>
  <c r="D78" i="2"/>
  <c r="C78" i="2"/>
  <c r="O77" i="2"/>
  <c r="P77" i="2" s="1"/>
  <c r="E77" i="2"/>
  <c r="D77" i="2"/>
  <c r="C77" i="2"/>
  <c r="O76" i="2"/>
  <c r="E76" i="2"/>
  <c r="D76" i="2"/>
  <c r="C76" i="2"/>
  <c r="O75" i="2"/>
  <c r="P75" i="2" s="1"/>
  <c r="E75" i="2"/>
  <c r="D75" i="2"/>
  <c r="C75" i="2"/>
  <c r="O74" i="2"/>
  <c r="E74" i="2"/>
  <c r="D74" i="2"/>
  <c r="C74" i="2"/>
  <c r="O73" i="2"/>
  <c r="P73" i="2" s="1"/>
  <c r="E73" i="2"/>
  <c r="D73" i="2"/>
  <c r="C73" i="2"/>
  <c r="O72" i="2"/>
  <c r="P72" i="2" s="1"/>
  <c r="E72" i="2"/>
  <c r="D72" i="2"/>
  <c r="C72" i="2"/>
  <c r="O71" i="2"/>
  <c r="P71" i="2" s="1"/>
  <c r="E71" i="2"/>
  <c r="D71" i="2"/>
  <c r="C71" i="2"/>
  <c r="O70" i="2"/>
  <c r="P70" i="2" s="1"/>
  <c r="E70" i="2"/>
  <c r="D70" i="2"/>
  <c r="C70" i="2"/>
  <c r="O69" i="2"/>
  <c r="P69" i="2" s="1"/>
  <c r="E69" i="2"/>
  <c r="D69" i="2"/>
  <c r="C69" i="2"/>
  <c r="O68" i="2"/>
  <c r="E68" i="2"/>
  <c r="D68" i="2"/>
  <c r="C68" i="2"/>
  <c r="O67" i="2"/>
  <c r="P67" i="2" s="1"/>
  <c r="E67" i="2"/>
  <c r="D67" i="2"/>
  <c r="C67" i="2"/>
  <c r="O66" i="2"/>
  <c r="P66" i="2" s="1"/>
  <c r="E66" i="2"/>
  <c r="D66" i="2"/>
  <c r="C66" i="2"/>
  <c r="O65" i="2"/>
  <c r="P65" i="2" s="1"/>
  <c r="E65" i="2"/>
  <c r="D65" i="2"/>
  <c r="C65" i="2"/>
  <c r="O64" i="2"/>
  <c r="P64" i="2" s="1"/>
  <c r="E64" i="2"/>
  <c r="D64" i="2"/>
  <c r="C64" i="2"/>
  <c r="O63" i="2"/>
  <c r="P63" i="2" s="1"/>
  <c r="E63" i="2"/>
  <c r="D63" i="2"/>
  <c r="C63" i="2"/>
  <c r="O62" i="2"/>
  <c r="E62" i="2"/>
  <c r="D62" i="2"/>
  <c r="C62" i="2"/>
  <c r="O61" i="2"/>
  <c r="P61" i="2" s="1"/>
  <c r="E61" i="2"/>
  <c r="D61" i="2"/>
  <c r="C61" i="2"/>
  <c r="O60" i="2"/>
  <c r="P60" i="2" s="1"/>
  <c r="E60" i="2"/>
  <c r="D60" i="2"/>
  <c r="C60" i="2"/>
  <c r="O59" i="2"/>
  <c r="P59" i="2" s="1"/>
  <c r="E59" i="2"/>
  <c r="D59" i="2"/>
  <c r="C59" i="2"/>
  <c r="O58" i="2"/>
  <c r="P58" i="2" s="1"/>
  <c r="E58" i="2"/>
  <c r="D58" i="2"/>
  <c r="C58" i="2"/>
  <c r="O57" i="2"/>
  <c r="P57" i="2" s="1"/>
  <c r="E57" i="2"/>
  <c r="D57" i="2"/>
  <c r="C57" i="2"/>
  <c r="O56" i="2"/>
  <c r="P56" i="2" s="1"/>
  <c r="E56" i="2"/>
  <c r="D56" i="2"/>
  <c r="C56" i="2"/>
  <c r="O55" i="2"/>
  <c r="P55" i="2" s="1"/>
  <c r="E55" i="2"/>
  <c r="D55" i="2"/>
  <c r="C55" i="2"/>
  <c r="O54" i="2"/>
  <c r="P54" i="2" s="1"/>
  <c r="E54" i="2"/>
  <c r="D54" i="2"/>
  <c r="C54" i="2"/>
  <c r="O53" i="2"/>
  <c r="P53" i="2" s="1"/>
  <c r="E53" i="2"/>
  <c r="D53" i="2"/>
  <c r="C53" i="2"/>
  <c r="O52" i="2"/>
  <c r="P52" i="2" s="1"/>
  <c r="E52" i="2"/>
  <c r="D52" i="2"/>
  <c r="C52" i="2"/>
  <c r="O51" i="2"/>
  <c r="P51" i="2" s="1"/>
  <c r="E51" i="2"/>
  <c r="D51" i="2"/>
  <c r="C51" i="2"/>
  <c r="O50" i="2"/>
  <c r="P50" i="2" s="1"/>
  <c r="E50" i="2"/>
  <c r="D50" i="2"/>
  <c r="C50" i="2"/>
  <c r="O49" i="2"/>
  <c r="P49" i="2" s="1"/>
  <c r="E49" i="2"/>
  <c r="D49" i="2"/>
  <c r="C49" i="2"/>
  <c r="O48" i="2"/>
  <c r="P48" i="2" s="1"/>
  <c r="E48" i="2"/>
  <c r="D48" i="2"/>
  <c r="C48" i="2"/>
  <c r="O47" i="2"/>
  <c r="P47" i="2" s="1"/>
  <c r="E47" i="2"/>
  <c r="D47" i="2"/>
  <c r="C47" i="2"/>
  <c r="O46" i="2"/>
  <c r="P46" i="2" s="1"/>
  <c r="E46" i="2"/>
  <c r="D46" i="2"/>
  <c r="C46" i="2"/>
  <c r="O45" i="2"/>
  <c r="E45" i="2"/>
  <c r="D45" i="2"/>
  <c r="C45" i="2"/>
  <c r="O44" i="2"/>
  <c r="E44" i="2"/>
  <c r="D44" i="2"/>
  <c r="C44" i="2"/>
  <c r="O43" i="2"/>
  <c r="P43" i="2" s="1"/>
  <c r="E43" i="2"/>
  <c r="D43" i="2"/>
  <c r="C43" i="2"/>
  <c r="O42" i="2"/>
  <c r="E42" i="2"/>
  <c r="D42" i="2"/>
  <c r="C42" i="2"/>
  <c r="O41" i="2"/>
  <c r="E41" i="2"/>
  <c r="D41" i="2"/>
  <c r="C41" i="2"/>
  <c r="O40" i="2"/>
  <c r="P40" i="2" s="1"/>
  <c r="E40" i="2"/>
  <c r="D40" i="2"/>
  <c r="C40" i="2"/>
  <c r="O39" i="2"/>
  <c r="E39" i="2"/>
  <c r="D39" i="2"/>
  <c r="C39" i="2"/>
  <c r="O38" i="2"/>
  <c r="P38" i="2" s="1"/>
  <c r="E38" i="2"/>
  <c r="D38" i="2"/>
  <c r="C38" i="2"/>
  <c r="O37" i="2"/>
  <c r="P37" i="2" s="1"/>
  <c r="E37" i="2"/>
  <c r="D37" i="2"/>
  <c r="C37" i="2"/>
  <c r="O36" i="2"/>
  <c r="E36" i="2"/>
  <c r="D36" i="2"/>
  <c r="C36" i="2"/>
  <c r="O35" i="2"/>
  <c r="E35" i="2"/>
  <c r="D35" i="2"/>
  <c r="C35" i="2"/>
  <c r="O34" i="2"/>
  <c r="P34" i="2" s="1"/>
  <c r="E34" i="2"/>
  <c r="D34" i="2"/>
  <c r="C34" i="2"/>
  <c r="O33" i="2"/>
  <c r="P33" i="2" s="1"/>
  <c r="E33" i="2"/>
  <c r="D33" i="2"/>
  <c r="C33" i="2"/>
  <c r="O32" i="2"/>
  <c r="P32" i="2" s="1"/>
  <c r="E32" i="2"/>
  <c r="D32" i="2"/>
  <c r="C32" i="2"/>
  <c r="O31" i="2"/>
  <c r="P31" i="2" s="1"/>
  <c r="E31" i="2"/>
  <c r="D31" i="2"/>
  <c r="C31" i="2"/>
  <c r="O30" i="2"/>
  <c r="E30" i="2"/>
  <c r="D30" i="2"/>
  <c r="C30" i="2"/>
  <c r="O29" i="2"/>
  <c r="E29" i="2"/>
  <c r="D29" i="2"/>
  <c r="C29" i="2"/>
  <c r="O28" i="2"/>
  <c r="P28" i="2" s="1"/>
  <c r="E28" i="2"/>
  <c r="D28" i="2"/>
  <c r="C28" i="2"/>
  <c r="O27" i="2"/>
  <c r="P27" i="2" s="1"/>
  <c r="E27" i="2"/>
  <c r="D27" i="2"/>
  <c r="C27" i="2"/>
  <c r="O26" i="2"/>
  <c r="P26" i="2" s="1"/>
  <c r="E26" i="2"/>
  <c r="D26" i="2"/>
  <c r="C26" i="2"/>
  <c r="O25" i="2"/>
  <c r="P25" i="2" s="1"/>
  <c r="E25" i="2"/>
  <c r="D25" i="2"/>
  <c r="C25" i="2"/>
  <c r="O24" i="2"/>
  <c r="E24" i="2"/>
  <c r="D24" i="2"/>
  <c r="C24" i="2"/>
  <c r="O23" i="2"/>
  <c r="P23" i="2" s="1"/>
  <c r="E23" i="2"/>
  <c r="D23" i="2"/>
  <c r="C23" i="2"/>
  <c r="O22" i="2"/>
  <c r="E22" i="2"/>
  <c r="D22" i="2"/>
  <c r="C22" i="2"/>
  <c r="O21" i="2"/>
  <c r="E21" i="2"/>
  <c r="D21" i="2"/>
  <c r="C21" i="2"/>
  <c r="O20" i="2"/>
  <c r="P20" i="2" s="1"/>
  <c r="E20" i="2"/>
  <c r="D20" i="2"/>
  <c r="C20" i="2"/>
  <c r="O19" i="2"/>
  <c r="P19" i="2" s="1"/>
  <c r="E19" i="2"/>
  <c r="D19" i="2"/>
  <c r="C19" i="2"/>
  <c r="O18" i="2"/>
  <c r="E18" i="2"/>
  <c r="D18" i="2"/>
  <c r="C18" i="2"/>
  <c r="O17" i="2"/>
  <c r="E17" i="2"/>
  <c r="D17" i="2"/>
  <c r="C17" i="2"/>
  <c r="O16" i="2"/>
  <c r="P16" i="2" s="1"/>
  <c r="E16" i="2"/>
  <c r="D16" i="2"/>
  <c r="C16" i="2"/>
  <c r="O15" i="2"/>
  <c r="E15" i="2"/>
  <c r="D15" i="2"/>
  <c r="C15" i="2"/>
  <c r="O14" i="2"/>
  <c r="P14" i="2" s="1"/>
  <c r="E14" i="2"/>
  <c r="D14" i="2"/>
  <c r="C14" i="2"/>
  <c r="O13" i="2"/>
  <c r="E13" i="2"/>
  <c r="D13" i="2"/>
  <c r="C13" i="2"/>
  <c r="O12" i="2"/>
  <c r="E12" i="2"/>
  <c r="D12" i="2"/>
  <c r="C12" i="2"/>
  <c r="O11" i="2"/>
  <c r="P11" i="2" s="1"/>
  <c r="E11" i="2"/>
  <c r="D11" i="2"/>
  <c r="C11" i="2"/>
  <c r="O10" i="2"/>
  <c r="E10" i="2"/>
  <c r="D10" i="2"/>
  <c r="C10" i="2"/>
  <c r="O9" i="2"/>
  <c r="E9" i="2"/>
  <c r="D9" i="2"/>
  <c r="C9" i="2"/>
  <c r="O8" i="2"/>
  <c r="P8" i="2" s="1"/>
  <c r="E8" i="2"/>
  <c r="D8" i="2"/>
  <c r="C8" i="2"/>
  <c r="O7" i="2"/>
  <c r="P7" i="2" s="1"/>
  <c r="E7" i="2"/>
  <c r="D7" i="2"/>
  <c r="C7" i="2"/>
  <c r="P317" i="2" l="1"/>
  <c r="P22" i="2"/>
  <c r="P103" i="2"/>
  <c r="P162" i="2"/>
  <c r="P211" i="2"/>
  <c r="P21" i="2"/>
  <c r="P128" i="2"/>
  <c r="P13" i="2"/>
  <c r="P41" i="2"/>
  <c r="P106" i="2"/>
  <c r="P133" i="2"/>
  <c r="P122" i="2"/>
  <c r="P157" i="2"/>
  <c r="P18" i="2"/>
  <c r="P255" i="2"/>
  <c r="P68" i="2"/>
  <c r="P99" i="2"/>
  <c r="P147" i="2"/>
  <c r="P336" i="2"/>
  <c r="P229" i="2"/>
  <c r="P208" i="2"/>
  <c r="P30" i="2"/>
  <c r="P251" i="2"/>
  <c r="P274" i="2"/>
  <c r="P96" i="2"/>
  <c r="P62" i="2"/>
  <c r="P179" i="2"/>
  <c r="P225" i="2"/>
  <c r="P220" i="2"/>
  <c r="P199" i="2"/>
  <c r="P228" i="2"/>
  <c r="P319" i="2"/>
  <c r="P10" i="2"/>
  <c r="P29" i="2"/>
  <c r="P250" i="2"/>
  <c r="P35" i="2"/>
  <c r="P113" i="2"/>
  <c r="P42" i="2"/>
  <c r="P80" i="2"/>
  <c r="P9" i="2"/>
  <c r="P91" i="2"/>
  <c r="P142" i="2"/>
  <c r="P197" i="2"/>
  <c r="P44" i="2"/>
  <c r="P45" i="2"/>
  <c r="P76" i="2"/>
  <c r="P129" i="2"/>
  <c r="P165" i="2"/>
  <c r="P278" i="2"/>
  <c r="P110" i="2"/>
  <c r="P15" i="2"/>
  <c r="P12" i="2"/>
  <c r="P332" i="2"/>
  <c r="P309" i="2"/>
  <c r="P158" i="2"/>
  <c r="P24" i="2"/>
  <c r="P39" i="2"/>
  <c r="P74" i="2"/>
  <c r="P86" i="2"/>
  <c r="P111" i="2"/>
  <c r="P136" i="2"/>
  <c r="P92" i="2"/>
  <c r="P17" i="2"/>
  <c r="P155" i="2"/>
  <c r="P114" i="2"/>
  <c r="P36" i="2"/>
  <c r="P83" i="2"/>
  <c r="P85" i="2"/>
  <c r="P143" i="2"/>
  <c r="P145" i="2"/>
  <c r="P107" i="2"/>
  <c r="P174" i="2"/>
  <c r="P214" i="2"/>
  <c r="P196" i="2"/>
  <c r="P104" i="2"/>
  <c r="P138" i="2"/>
  <c r="P101" i="2"/>
  <c r="P141" i="2"/>
  <c r="P154" i="2"/>
  <c r="P237" i="2"/>
  <c r="P108" i="2"/>
  <c r="P112" i="2"/>
  <c r="P130" i="2"/>
  <c r="P140" i="2"/>
  <c r="P150" i="2"/>
  <c r="P153" i="2"/>
  <c r="P209" i="2"/>
  <c r="P231" i="2"/>
  <c r="P131" i="2"/>
  <c r="P169" i="2"/>
  <c r="P222" i="2"/>
  <c r="P166" i="2"/>
  <c r="P160" i="2"/>
  <c r="P185" i="2"/>
  <c r="P186" i="2"/>
  <c r="P271" i="2"/>
  <c r="P202" i="2"/>
  <c r="P212" i="2"/>
  <c r="P260" i="2"/>
  <c r="P273" i="2"/>
  <c r="P302" i="2"/>
  <c r="P149" i="2"/>
  <c r="P244" i="2"/>
  <c r="P261" i="2"/>
  <c r="P329" i="2"/>
  <c r="P219" i="2"/>
  <c r="P223" i="2"/>
  <c r="P259" i="2"/>
  <c r="P265" i="2"/>
  <c r="P267" i="2"/>
  <c r="P268" i="2"/>
  <c r="P269" i="2"/>
  <c r="P207" i="2"/>
  <c r="P213" i="2"/>
  <c r="P216" i="2"/>
  <c r="P232" i="2"/>
  <c r="P247" i="2"/>
  <c r="P249" i="2"/>
  <c r="P328" i="2"/>
  <c r="P200" i="2"/>
  <c r="P253" i="2"/>
  <c r="P256" i="2"/>
  <c r="P335" i="2"/>
  <c r="P311" i="2"/>
  <c r="P312" i="2"/>
  <c r="P241" i="2"/>
  <c r="P3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Keuangan - PC</author>
  </authors>
  <commentList>
    <comment ref="B13" authorId="0" shapeId="0" xr:uid="{626C78A7-DE1A-4F08-A21F-AD274A5CFCD9}">
      <text>
        <r>
          <rPr>
            <b/>
            <sz val="9"/>
            <color rgb="FF000000"/>
            <rFont val="Tahoma"/>
            <family val="2"/>
          </rPr>
          <t>Limpahan Kanwil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4" authorId="0" shapeId="0" xr:uid="{18A2105B-D33F-44C6-B890-54A5C07E6304}">
      <text>
        <r>
          <rPr>
            <b/>
            <sz val="9"/>
            <color indexed="81"/>
            <rFont val="Tahoma"/>
            <family val="2"/>
          </rPr>
          <t>Limpahan Kanwil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<sst xmlns="http://schemas.openxmlformats.org/spreadsheetml/2006/main" count="1524" uniqueCount="817">
  <si>
    <t>No.</t>
  </si>
  <si>
    <t>Merk/ Tipe</t>
  </si>
  <si>
    <t>TANGGAL PEROLEHAN</t>
  </si>
  <si>
    <t>KODE ASET</t>
  </si>
  <si>
    <t xml:space="preserve">KODE ASET </t>
  </si>
  <si>
    <t>NOMOR ASET</t>
  </si>
  <si>
    <t>KONDISI</t>
  </si>
  <si>
    <t>LOKASI</t>
  </si>
  <si>
    <t>HARGA PEROLEHAN</t>
  </si>
  <si>
    <t>TANGGAL HABIS MANFAAT</t>
  </si>
  <si>
    <t>UMUR
EKONOMIS</t>
  </si>
  <si>
    <t>SISA UMUR EKONOMIS S/D 2024</t>
  </si>
  <si>
    <t>TGL.</t>
  </si>
  <si>
    <t>BLN.</t>
  </si>
  <si>
    <t>THN.</t>
  </si>
  <si>
    <t>TANGGAL</t>
  </si>
  <si>
    <t>SIM AT</t>
  </si>
  <si>
    <t>JSTREAM</t>
  </si>
  <si>
    <t>A. KANTOR</t>
  </si>
  <si>
    <t>A1.</t>
  </si>
  <si>
    <t>FURNITURE</t>
  </si>
  <si>
    <t>KURSI RAPAT</t>
  </si>
  <si>
    <t>3A10030001-12250817-003004C06</t>
  </si>
  <si>
    <t>9A1200005-12B250817-002015W06</t>
  </si>
  <si>
    <t>Sedang Digunakan</t>
  </si>
  <si>
    <t>RUANG RAPAT LT.2</t>
  </si>
  <si>
    <t>3A10030002-12250817-003004C06</t>
  </si>
  <si>
    <t>9A1200006-12B250817-002015W06</t>
  </si>
  <si>
    <t xml:space="preserve">RUANG RAPAT LT.2 </t>
  </si>
  <si>
    <t>3A10030003-12250817-003004C06</t>
  </si>
  <si>
    <t>9A1200007-12B250817-002025W06</t>
  </si>
  <si>
    <t>3A10030004-12250817-003004C06</t>
  </si>
  <si>
    <t>9A1200008-12B250817-002015W06</t>
  </si>
  <si>
    <t>RUANG RAPAT LT. 2</t>
  </si>
  <si>
    <t>3A10030005-12250817-003004C06</t>
  </si>
  <si>
    <t>9A1200009-12B250817-002015W06</t>
  </si>
  <si>
    <t>3A10030006-12250817-003004C06</t>
  </si>
  <si>
    <t>9A1200010-12B250817-002015W06</t>
  </si>
  <si>
    <t>GUDANG LT.3</t>
  </si>
  <si>
    <t>3A10030007-12250817-003004C06</t>
  </si>
  <si>
    <t>9A1200011-12B250817-002015W06</t>
  </si>
  <si>
    <t>Ruang Rapat Lt. 2</t>
  </si>
  <si>
    <t>CRADENZA BESAR 01</t>
  </si>
  <si>
    <t>3A10050001-21010197-003004C06</t>
  </si>
  <si>
    <t>9A1500001-12B010197-002015W06</t>
  </si>
  <si>
    <t xml:space="preserve">KURSI KERJA </t>
  </si>
  <si>
    <t>3A10030001-12291116-003003C06</t>
  </si>
  <si>
    <t>9A1200001-12B291116-002014W06</t>
  </si>
  <si>
    <t>RUANG BJS</t>
  </si>
  <si>
    <t>ROLLER BLIND/VERTICAL BLIND</t>
  </si>
  <si>
    <t>3A90180001-12270919-002004W06</t>
  </si>
  <si>
    <t>9A1800001-12B270919-002014W06</t>
  </si>
  <si>
    <t>AREA LANTAI 2</t>
  </si>
  <si>
    <t>Meja Kerja Pinwil</t>
  </si>
  <si>
    <t>3A10040002-11211015-003001C06</t>
  </si>
  <si>
    <t>9A1100002-12B211015-002004W06</t>
  </si>
  <si>
    <t>RUANG PINWIL</t>
  </si>
  <si>
    <t>Sofa Blackburno 2s black</t>
  </si>
  <si>
    <t>3A10030002-11251015-003001C06</t>
  </si>
  <si>
    <t>9A1200001-12B251015-002016W06</t>
  </si>
  <si>
    <t>RUANG ARSIP LT.2</t>
  </si>
  <si>
    <t>3A10030001-11251015-003001C06</t>
  </si>
  <si>
    <t>9A1200002-12B251015-002016W06</t>
  </si>
  <si>
    <t>LEMARI ARSIP (PA2901216) (SWING DOOR)</t>
  </si>
  <si>
    <t>3A10050003-12141216-003016C06</t>
  </si>
  <si>
    <t>9A1300002-12B151216-002020W06</t>
  </si>
  <si>
    <t>3A10050004-12191216-003016C06</t>
  </si>
  <si>
    <t>9A1300003-12B161216-002021W06</t>
  </si>
  <si>
    <t>LEMARI ARSIP (PA2901216) (SLIDING DOOR)</t>
  </si>
  <si>
    <t>3A10050001-12141216-003003C06</t>
  </si>
  <si>
    <t>9A1300006-12B141216-002020W06</t>
  </si>
  <si>
    <t>3A10050002-12141216-003016C06</t>
  </si>
  <si>
    <t>9A1300001-12B141216-002020W06</t>
  </si>
  <si>
    <t>FILLING KABINET (PA2901216)</t>
  </si>
  <si>
    <t>3A10050001-12230321-003011C06</t>
  </si>
  <si>
    <t>9A1300004-12B151216-002020W06</t>
  </si>
  <si>
    <t>RUANG SERVER &amp; ATK</t>
  </si>
  <si>
    <t>LEMARI ARSIP (PA2901216)</t>
  </si>
  <si>
    <t>3A10050006-12141216-003003C06</t>
  </si>
  <si>
    <t>9A1300006-12B191216-002021W06</t>
  </si>
  <si>
    <t>LEMARI LOKER (PZF0210320)</t>
  </si>
  <si>
    <t>3A10050002-12310320-003016C06</t>
  </si>
  <si>
    <t>9A1300001-12B310320-002020W06</t>
  </si>
  <si>
    <t>RUANG LOKER</t>
  </si>
  <si>
    <t>3A10050003-12310320-003016C06</t>
  </si>
  <si>
    <t>9A1300002-12B310320-002020W06</t>
  </si>
  <si>
    <t>WHITEBOARD GLASS</t>
  </si>
  <si>
    <t>3A00060001-11241014-003006C06</t>
  </si>
  <si>
    <t>9A1800001-12B241014-002021W06</t>
  </si>
  <si>
    <t>RUANG OPERATOR</t>
  </si>
  <si>
    <t>3A10030008-12250817-003004C06</t>
  </si>
  <si>
    <t>9A1200001-12B250817-002015W06</t>
  </si>
  <si>
    <t>3A10030009-12250817-003004C06</t>
  </si>
  <si>
    <t>9A1200002-12B250817-002015W06</t>
  </si>
  <si>
    <t>3A10030010-12250817-003004C06</t>
  </si>
  <si>
    <t>9A1200003-12B250817-002015W06</t>
  </si>
  <si>
    <t>3A10030011-12250817-003004C06</t>
  </si>
  <si>
    <t>9A1200004-12B250817-002015W06</t>
  </si>
  <si>
    <t>RUANG STAFF OPERASIONAL</t>
  </si>
  <si>
    <t>KURSI KERJA</t>
  </si>
  <si>
    <t>3A10030001-12291116-003006C06</t>
  </si>
  <si>
    <t>9A1200001-12B291116-002025W06</t>
  </si>
  <si>
    <t>3A10030002-12291116-003006C06</t>
  </si>
  <si>
    <t>9A1200002-12B291116-002025W06</t>
  </si>
  <si>
    <t>3A10030004-12291116-003006C06</t>
  </si>
  <si>
    <t>9A1200004-12B291116-002025W06</t>
  </si>
  <si>
    <t>3A10030005-12291116-003006C06</t>
  </si>
  <si>
    <t>9A1200005-12B291116-002025W06</t>
  </si>
  <si>
    <t>3A10030006-12261116-003006C06</t>
  </si>
  <si>
    <t>9A1200006-12B291116-002025W06</t>
  </si>
  <si>
    <t>Lemari Etalase uk 100 x 50 x 229/ LEMARI KACA</t>
  </si>
  <si>
    <t>3A10050001-11311013-003014C06</t>
  </si>
  <si>
    <t>9A1300001-12B311013-002025W06</t>
  </si>
  <si>
    <t>Rusak</t>
  </si>
  <si>
    <t>LELANG</t>
  </si>
  <si>
    <t>MEJA KACA\ Meja ACF12060</t>
  </si>
  <si>
    <t>3A10040003-11161014-003006C06</t>
  </si>
  <si>
    <t>9A1100003-12B241014-002025W06</t>
  </si>
  <si>
    <t>MEJA KACA (KECIL)/  Meja Pojok</t>
  </si>
  <si>
    <t>3A10040001-21261005-003006C06</t>
  </si>
  <si>
    <t>9A1100001-12B261005-002025W06</t>
  </si>
  <si>
    <t>SOFA (3S + 2S + 1S)\ Sofa Type :PRESTON</t>
  </si>
  <si>
    <t>3A10030001-11241014-003013C06</t>
  </si>
  <si>
    <t>9A1200001-12B241014-002025W06</t>
  </si>
  <si>
    <t>RAK ARSIP</t>
  </si>
  <si>
    <t>3A10050002-11290612-002006W06</t>
  </si>
  <si>
    <t>9A1700001-12B290612-002025W06</t>
  </si>
  <si>
    <t>GUDANG KANWIL</t>
  </si>
  <si>
    <t>KURSI SIERRA HIGH</t>
  </si>
  <si>
    <t>3A10030001-12080318-003003C06</t>
  </si>
  <si>
    <t>9A1200001-12B080318-002014W06</t>
  </si>
  <si>
    <t>MEJA KEPALA CAB EBONY</t>
  </si>
  <si>
    <t>3A10040001-11080318-003003C06</t>
  </si>
  <si>
    <t>9A1100001-12B080318-002014W06</t>
  </si>
  <si>
    <t>FILLING KABINET DINAMIKA FCD4-7 (PZF0050321)</t>
  </si>
  <si>
    <t>3A10050004-12151216-003016C06</t>
  </si>
  <si>
    <t>9A1300001-12B310321-002021W06</t>
  </si>
  <si>
    <t>3A10050004-12161216-003016C06</t>
  </si>
  <si>
    <t>9A1300003-12B310321-002021W06</t>
  </si>
  <si>
    <t>MEJA STAF SIEBEN (CZF0101021)</t>
  </si>
  <si>
    <t>3A10040001-11271021-003003C06</t>
  </si>
  <si>
    <t>9A1100001-12B271021-002014W06</t>
  </si>
  <si>
    <t>KURSI KABAG INFORMA (CZF0101021)</t>
  </si>
  <si>
    <t>3A10030004-12271021-003002C06</t>
  </si>
  <si>
    <t>9A1200001-12B271021-002007W06</t>
  </si>
  <si>
    <t>RUANG KABAG OPS</t>
  </si>
  <si>
    <t>3A10040002-11271021-003003C06</t>
  </si>
  <si>
    <t>9A1100002-12B271021-002014W06</t>
  </si>
  <si>
    <t>MEJA KABAG MONTHANA (CZF0101021)</t>
  </si>
  <si>
    <t>3A10040003-11271021-003002C06</t>
  </si>
  <si>
    <t>9A1100003-12B271021-002007W06</t>
  </si>
  <si>
    <t>RUANG KABAG BISNIS</t>
  </si>
  <si>
    <t>KURSI STAF INFORMA (CZF0101021)</t>
  </si>
  <si>
    <t>3A10030001-12271021-003003C06</t>
  </si>
  <si>
    <t>9A1200001-12B271021-002004W06</t>
  </si>
  <si>
    <t>3A10030002-12271021-003003C06</t>
  </si>
  <si>
    <t>9A1200002-12B271021-002014W06</t>
  </si>
  <si>
    <t>RUANG STAF KLAIM</t>
  </si>
  <si>
    <t>MEJA STAF SIEBEN (CZF0111121)</t>
  </si>
  <si>
    <t>3A10040003-11221121-003003C06</t>
  </si>
  <si>
    <t>9A1100003-12B231121-002014W06</t>
  </si>
  <si>
    <t>RUANG STAFF KLAIM</t>
  </si>
  <si>
    <t>3A10040004-11221121-003003C06</t>
  </si>
  <si>
    <t>9A1100004-12B231121-002014W06</t>
  </si>
  <si>
    <t>MEJA KABAG MONTHANA (CZF0111121)</t>
  </si>
  <si>
    <t>3A10040002-11221121-003003C06</t>
  </si>
  <si>
    <t>9A1100002-12B231121-002007W06</t>
  </si>
  <si>
    <t>Ruang Kabag Klaim</t>
  </si>
  <si>
    <t>KURSI KABAG INFORMA (CZF0111121)</t>
  </si>
  <si>
    <t>3A10030002-12221121-003002C06</t>
  </si>
  <si>
    <t>9A1200002-12B231121-002007W06</t>
  </si>
  <si>
    <t>KURSI KABAG INFORMA (CZF0151121)</t>
  </si>
  <si>
    <t>3A10030003-12261121-003002C06</t>
  </si>
  <si>
    <t>9A1200003-12B301121-002007W06</t>
  </si>
  <si>
    <t>RUANG KABAG KLAIM</t>
  </si>
  <si>
    <t>MEJA STAF SIEBEN (CZF0151121)</t>
  </si>
  <si>
    <t>3A10040006-11261121-003003C06</t>
  </si>
  <si>
    <t>9A1100006-12B301121-002014W06</t>
  </si>
  <si>
    <t>RUANG STAF BISNIS</t>
  </si>
  <si>
    <t>3A10040007-11261121-003003C06</t>
  </si>
  <si>
    <t>9A1100007-12B301121-002014W06</t>
  </si>
  <si>
    <t>MEJA TELLER SIEBEN (CZF0151121)</t>
  </si>
  <si>
    <t>3A10040005-11261121-003003C06</t>
  </si>
  <si>
    <t>9A1100005-12B301121-002014W06</t>
  </si>
  <si>
    <t>SOFA LOUNGE SET JOAQUIN (CZF0151121)</t>
  </si>
  <si>
    <t>3A10040001-11291121-003009C06</t>
  </si>
  <si>
    <t>9A1200001-12B301121-002016W06</t>
  </si>
  <si>
    <t>RUANG PRIORITAS</t>
  </si>
  <si>
    <t>MEJA RAPAT (BZF0181221)</t>
  </si>
  <si>
    <t>3A10040001-11141221-003004C06</t>
  </si>
  <si>
    <t>9A1100001-12B221221-002015W06</t>
  </si>
  <si>
    <t>RUANG RAPAT LT. 1</t>
  </si>
  <si>
    <t>LEMARI ES LG TYPE GCL 257 CQEL (PZF0160422)</t>
  </si>
  <si>
    <t>3A10110001-11280422-003005C06</t>
  </si>
  <si>
    <t>9A1300001-12B280422-002019W06</t>
  </si>
  <si>
    <t>RUMAH DINAS</t>
  </si>
  <si>
    <t>KURSI PINWIL ERGOHUMAN CHAIR LOWBACK (CZF0120421)</t>
  </si>
  <si>
    <t>3A10030002-12230421-003001C06</t>
  </si>
  <si>
    <t>9A1200002-12B230421-002004W06</t>
  </si>
  <si>
    <t>9A1300004-12B191216-002020W06</t>
  </si>
  <si>
    <t>3A10050003-12230321-003003C06</t>
  </si>
  <si>
    <t>9A1300004-12B161216-002020W06</t>
  </si>
  <si>
    <t>Meja kerja kabag operasional</t>
  </si>
  <si>
    <t>3A10040003-11231017-003002C06</t>
  </si>
  <si>
    <t>9A1100003-12B231017-002007W06</t>
  </si>
  <si>
    <t>Brand cash infinity safe</t>
  </si>
  <si>
    <t>3A20010002-12270218-003002C06</t>
  </si>
  <si>
    <t>9A1600002-12A270218-002007W06</t>
  </si>
  <si>
    <t>Kursi Rapat enzo midblack (local)</t>
  </si>
  <si>
    <t>3A10030001-12310318-003003C06</t>
  </si>
  <si>
    <t>9A1200001-12B310318-002007W06</t>
  </si>
  <si>
    <t>3A10030002-12310318-003003C06</t>
  </si>
  <si>
    <t>9A1200002-12B310318-002014W06</t>
  </si>
  <si>
    <t>3A10030003-12310318-003003C06</t>
  </si>
  <si>
    <t>9A1200003-12B310318-002007W06</t>
  </si>
  <si>
    <t>3A10030005-12310318-003003C06</t>
  </si>
  <si>
    <t>9A1200005-12B310318-002014W06</t>
  </si>
  <si>
    <t>3A10030004-12310318-003003C06</t>
  </si>
  <si>
    <t>9A1200004-12B310318-002014W06</t>
  </si>
  <si>
    <t>3A10030006-12310318-003003C06</t>
  </si>
  <si>
    <t>9A1200006-12B310318-002014W06</t>
  </si>
  <si>
    <t>3A10030007-12310318-003003C06</t>
  </si>
  <si>
    <t>9A1200007-12B310318-002014W06</t>
  </si>
  <si>
    <t>3A10030008-12310318-003003C06</t>
  </si>
  <si>
    <t>9A1200008-12B310318-002014W06</t>
  </si>
  <si>
    <t>3A10030009-12310318-003003C06</t>
  </si>
  <si>
    <t>9A1200009-12B310318-002007W06</t>
  </si>
  <si>
    <t>3A100300010-12310318-003003C06</t>
  </si>
  <si>
    <t>9A1200010-12B310318-002007W06</t>
  </si>
  <si>
    <t>3A100300011-12310318-003003C06</t>
  </si>
  <si>
    <t>9A1200011-12B310318-002014W06</t>
  </si>
  <si>
    <t>3A100300012-12310318-003003C06</t>
  </si>
  <si>
    <t>9A1200012-12B310318-002014W06</t>
  </si>
  <si>
    <t>3A100300013-12310318-003003C06</t>
  </si>
  <si>
    <t>9A1200013-12B310318-002014W06</t>
  </si>
  <si>
    <t>3A100300020-12310318-003003C06</t>
  </si>
  <si>
    <t>9A1200020-12B310318-002014W06</t>
  </si>
  <si>
    <t>3A100300014-12310318-003003C06</t>
  </si>
  <si>
    <t>9A1200014-12B310318-002014W06</t>
  </si>
  <si>
    <t>RUANG RCO</t>
  </si>
  <si>
    <t>3A100300015-12310318-003003C06</t>
  </si>
  <si>
    <t>9A1200015-12B310318-002014W06</t>
  </si>
  <si>
    <t>3A100300016-12310318-003003C06</t>
  </si>
  <si>
    <t>9A1200016-12B310318-002025W06</t>
  </si>
  <si>
    <t>3A100300017-12310318-003003C06</t>
  </si>
  <si>
    <t>9A1200017-12B310318-002025W06</t>
  </si>
  <si>
    <t>3A100300018-12310318-003003C06</t>
  </si>
  <si>
    <t>9A1200018-12B310318-002025W06</t>
  </si>
  <si>
    <t>3A100300019-12310318-003003C06</t>
  </si>
  <si>
    <t>9A1200019-12B310318-002025W06</t>
  </si>
  <si>
    <t>Kursi Hadap enzo midblack (local)</t>
  </si>
  <si>
    <t>3A10030001-12170518-003003C06</t>
  </si>
  <si>
    <t>9A1200001-12B310318-002025W06</t>
  </si>
  <si>
    <t>3A10030002-12170518-003003C06</t>
  </si>
  <si>
    <t>9A1200002-12B310318-002025W06</t>
  </si>
  <si>
    <t>3A10030003-12170518-003003C06</t>
  </si>
  <si>
    <t>9A1200003-12B310318-002025W06</t>
  </si>
  <si>
    <t>3A10030007-12170518-003003C06</t>
  </si>
  <si>
    <t>9A1200004-12B310318-002007W06</t>
  </si>
  <si>
    <t>3A10030004-12170518-003003C06</t>
  </si>
  <si>
    <t>9A1200005-12B310318-002007W06</t>
  </si>
  <si>
    <t>3A10030006-12170518-003003C06</t>
  </si>
  <si>
    <t>9A1200006-12B310318-002004W06</t>
  </si>
  <si>
    <t>3A10030008-12170518-003003C06</t>
  </si>
  <si>
    <t>9A1200007-12B310318-002025W06</t>
  </si>
  <si>
    <t>3A10030009-12170518-003003C06</t>
  </si>
  <si>
    <t>9A1200008-12B310318-002004W06</t>
  </si>
  <si>
    <t>3A100300010-12170518-003003C06</t>
  </si>
  <si>
    <t>9A1200009-12B310318-002004W06</t>
  </si>
  <si>
    <t>3A10030005-12170518-003003C06</t>
  </si>
  <si>
    <t>9A1200010-12B310318-002004W06</t>
  </si>
  <si>
    <t>RUANG STAFF BISNIS</t>
  </si>
  <si>
    <t>MEJA KERJA STAF BISNIS MONTANA</t>
  </si>
  <si>
    <t>3A100400012-11250419-003003C06</t>
  </si>
  <si>
    <t>9A1100012-12B250419-002014W06</t>
  </si>
  <si>
    <t>KANTOR CABANG KEDIRI</t>
  </si>
  <si>
    <t>3A100400011-11250419-003003C06</t>
  </si>
  <si>
    <t>9A1100011-12B250419-002014W06</t>
  </si>
  <si>
    <t>Lemari arsip Sliding Kaca Lion L-33AK</t>
  </si>
  <si>
    <t>3A10050001-12250419-003016C06</t>
  </si>
  <si>
    <t>9A1300001-12B250419-002020W06</t>
  </si>
  <si>
    <t>3A10050002-12250419-003016C06</t>
  </si>
  <si>
    <t>9A1300002-12B250419-002020W06</t>
  </si>
  <si>
    <t>RUANG RAPAT BESAR</t>
  </si>
  <si>
    <t>3A10040001-11290419-003003C06</t>
  </si>
  <si>
    <t>9A1100001-12B290419-002014W06</t>
  </si>
  <si>
    <t>3A10040002-11290419-003003C06</t>
  </si>
  <si>
    <t>9A1100002-12B290419-002014W06</t>
  </si>
  <si>
    <t>AC DAIKIN 2 PK (BZF0280320)</t>
  </si>
  <si>
    <t>3C30110003-11270320-003003C06</t>
  </si>
  <si>
    <t>9A1300011-12B270320-002015W06</t>
  </si>
  <si>
    <t>LEMARI ARSIP (PZF0200320)</t>
  </si>
  <si>
    <t>3A10050001-12310320-003016C06</t>
  </si>
  <si>
    <t>9A1300003-12B310320-002020W06</t>
  </si>
  <si>
    <t>3A10050004-12310320-003016C06</t>
  </si>
  <si>
    <t>9A1300004-12B310320-002020W06</t>
  </si>
  <si>
    <t>3A10050005-12310320-003016C06</t>
  </si>
  <si>
    <t>9A1300005-12B310320-002020W06</t>
  </si>
  <si>
    <t>3A10050007-12310320-003016C06</t>
  </si>
  <si>
    <t>9A1300006-12B310320-002020W06</t>
  </si>
  <si>
    <t>3A10050006-12310320-003016C06</t>
  </si>
  <si>
    <t>9A1300007-12B310320-002020W06</t>
  </si>
  <si>
    <t>3A10050008-12310320-003016C06</t>
  </si>
  <si>
    <t>9A1300008-12B310320-002020W06</t>
  </si>
  <si>
    <t>Ziva Sofa Black (BZF0150524)</t>
  </si>
  <si>
    <t>3A10240001-11270524-002001W06</t>
  </si>
  <si>
    <t>9A1200001-12B270524-002004W06</t>
  </si>
  <si>
    <t>Kursi Umura (BZF0120824)</t>
  </si>
  <si>
    <t>3A10350001-12190824-002003W06</t>
  </si>
  <si>
    <t>9A1200001-12B190824-002014W06</t>
  </si>
  <si>
    <t>3A10350002-12190824-002003W06</t>
  </si>
  <si>
    <t>9A1200002-12B190824-002014W06</t>
  </si>
  <si>
    <t>3A10350003-12190824-002003W06</t>
  </si>
  <si>
    <t>9A1200003-12B190824-002014W06</t>
  </si>
  <si>
    <t>Meja Printer Berka (BZF0120824)</t>
  </si>
  <si>
    <t>3A10040003-11190824-002003W06</t>
  </si>
  <si>
    <t>9A1100003-12B190824-002014W06</t>
  </si>
  <si>
    <t>RUANG LT. 3</t>
  </si>
  <si>
    <t>Meja Staff Sieben (BZF0120824)</t>
  </si>
  <si>
    <t>3A10040001-11190824-002003W06</t>
  </si>
  <si>
    <t>9A1100001-12B190824-002014W06</t>
  </si>
  <si>
    <t>RUANG STAFF LT. 3</t>
  </si>
  <si>
    <t>3A10040002-11190824-002003W06</t>
  </si>
  <si>
    <t>9A1100002-12B190824-002014W06</t>
  </si>
  <si>
    <t>Meja/Kursi Tamu</t>
  </si>
  <si>
    <t>3A10040001-11040603-003015C06</t>
  </si>
  <si>
    <t>9A1100001-12B040603-002019W06</t>
  </si>
  <si>
    <t>SOFA 1 SET (Rumah Dinas)</t>
  </si>
  <si>
    <t>3A10040001-11310719-003015C06</t>
  </si>
  <si>
    <t>9A1200001-12B310719-002019W06</t>
  </si>
  <si>
    <t>A2.</t>
  </si>
  <si>
    <t>TI</t>
  </si>
  <si>
    <t>Printer Epson L 355</t>
  </si>
  <si>
    <t>3A30130002-12270615-003006C06</t>
  </si>
  <si>
    <t>7A1400002-12B270615-002025W06</t>
  </si>
  <si>
    <t>PC HP ALL IN ONE PAVILION (PC - OFFICE - WINDOWS)</t>
  </si>
  <si>
    <t>3B101300010-12200516-003006C06</t>
  </si>
  <si>
    <t>7A1100010-12B200516-002014W06</t>
  </si>
  <si>
    <t>3B10130006-12200516-003006C06</t>
  </si>
  <si>
    <t>7A1100006-12B200516-002025W06</t>
  </si>
  <si>
    <t>3B10130007-12070616-003003C06</t>
  </si>
  <si>
    <t>7A1100007-12B070616-002014W06</t>
  </si>
  <si>
    <t>3B10130008-12070616-003003C06</t>
  </si>
  <si>
    <t>7A1100008-12B070616-002014W06</t>
  </si>
  <si>
    <t>Laptop Hp 14-AB133TX/17-6500 + Software Office Home &amp; Business 2016</t>
  </si>
  <si>
    <t>3B10130001-12150916-003003C06</t>
  </si>
  <si>
    <t>7A1200001-12B150916-002021W06</t>
  </si>
  <si>
    <t>Printer Epson L 565</t>
  </si>
  <si>
    <t>3A30130003-12160916-003006C06</t>
  </si>
  <si>
    <t>7A1400003-12B160916-002014W06</t>
  </si>
  <si>
    <t>3A30130001-12160916-003003C06</t>
  </si>
  <si>
    <t>7A1400001-12B160916-002021W06</t>
  </si>
  <si>
    <t xml:space="preserve">MOBIL LAYANAN PENJAMINAN </t>
  </si>
  <si>
    <t>Printer Canon IX-6560/A3</t>
  </si>
  <si>
    <t>3A30130004-12190916-003003C06</t>
  </si>
  <si>
    <t>7A1400004-12B190916-002025W06</t>
  </si>
  <si>
    <t>LAPTOP DELL INSPIRON 5491 (PZF0230320)</t>
  </si>
  <si>
    <t>3B10130001-12310320-003003C06</t>
  </si>
  <si>
    <t>7A1200001-12B310320-002004W06</t>
  </si>
  <si>
    <t>UPS SERVER (PZF0240320)</t>
  </si>
  <si>
    <t>3A30130002-12310320-003003C06</t>
  </si>
  <si>
    <t>7A2100002-12B310320-002021W06</t>
  </si>
  <si>
    <t>PC HP PAVILLION</t>
  </si>
  <si>
    <t>3B10130006-12230616-003006C06</t>
  </si>
  <si>
    <t>7A1100006-12B230616-002014W06</t>
  </si>
  <si>
    <t>RUANG STAFF LT. 1</t>
  </si>
  <si>
    <t>AC PANASONIC 2PK</t>
  </si>
  <si>
    <t>3C30110007-11280515-003006C06</t>
  </si>
  <si>
    <t>7A1100001-12B031110-002025W06</t>
  </si>
  <si>
    <t>3B10130001-12210714-003003C06</t>
  </si>
  <si>
    <t>7A1100001-12B210714-002014W06</t>
  </si>
  <si>
    <t>RUANG SATPAM</t>
  </si>
  <si>
    <t>PRINTER EPSON L805 A4 COLOUR (PZF0060321)</t>
  </si>
  <si>
    <t>3A30130007-12240321-003002C06</t>
  </si>
  <si>
    <t>7A1400007-12B240321-002007W06</t>
  </si>
  <si>
    <t>PRINTER EPSON L6190 AIO A4 MULTI (PZF0060321)</t>
  </si>
  <si>
    <t>3A30130003-12240321-003003C06</t>
  </si>
  <si>
    <t>7A1400003-12B240321-002014W06</t>
  </si>
  <si>
    <t>3A30130002-12240321-003003C06</t>
  </si>
  <si>
    <t>7A1400002-12B240321-002014W06</t>
  </si>
  <si>
    <t>PC DELL BUSINESS DEKSTOP VOSTRO 3681 SFF (BZF0200421)</t>
  </si>
  <si>
    <t>3B10130002-12290321-003003C06</t>
  </si>
  <si>
    <t>7A1100002-12B220421-002014W06</t>
  </si>
  <si>
    <t>INFOCUS (BZF0071221)</t>
  </si>
  <si>
    <t>3A30110001-12301121-003004C06</t>
  </si>
  <si>
    <t>7A1600001-12B071221-002015W06</t>
  </si>
  <si>
    <t>LAPTOP DELL VOSTRO 3400  (BZF0071221)</t>
  </si>
  <si>
    <t>3B10130002-12011221-003011C06</t>
  </si>
  <si>
    <t>7A1200001-12B071221-002021W06</t>
  </si>
  <si>
    <t>3B10130003-12011221-003011C06</t>
  </si>
  <si>
    <t>7A1200002-12B071221-002021W06</t>
  </si>
  <si>
    <t>LAPTOP DELL VOSTRO 3400 (BZF0071221)</t>
  </si>
  <si>
    <t>3B10130001-12011221-003011C06</t>
  </si>
  <si>
    <t>7A1200003-12B071221-002021W06</t>
  </si>
  <si>
    <t>SCANNER BROTHER ADS-3600W (BZF0100422)</t>
  </si>
  <si>
    <t>3A30130001-12110422-003003C06</t>
  </si>
  <si>
    <t>7A1500001-12B110422-002014W06</t>
  </si>
  <si>
    <t>3A30130002-12110422-003003C06</t>
  </si>
  <si>
    <t>7A1500002-12B110422-002014W06</t>
  </si>
  <si>
    <t>3A30130003-12110422-003003C06</t>
  </si>
  <si>
    <t>7A1500003-12B110422-002014W06</t>
  </si>
  <si>
    <t>3B10130001-12290321-003003C06</t>
  </si>
  <si>
    <t>7A1100001-12B220421-002014W06</t>
  </si>
  <si>
    <t>RUANG KLAIM</t>
  </si>
  <si>
    <t>3B10130003-12290321-003003C06</t>
  </si>
  <si>
    <t>7A1100003-12B220421-002014W06</t>
  </si>
  <si>
    <t>3B10130004-12290321-003003C06</t>
  </si>
  <si>
    <t>7A1100004-12B220421-002007W06</t>
  </si>
  <si>
    <t>3B10130005-12290321-003003C06</t>
  </si>
  <si>
    <t>7A1100005-12B220421-002014W06</t>
  </si>
  <si>
    <t>3B00130010-12290321-003003C06</t>
  </si>
  <si>
    <t>7A1100010-12B220421-002014W06</t>
  </si>
  <si>
    <t>3B10130006-12290321-003003C06</t>
  </si>
  <si>
    <t>7A1100006-12B220421-002014W06</t>
  </si>
  <si>
    <t>3B10130007-12290321-003003C06</t>
  </si>
  <si>
    <t>7A1100007-12B220421-002014W06</t>
  </si>
  <si>
    <t>PRINTER BARCODE ZEBRA ZD230 (PZF0160421)</t>
  </si>
  <si>
    <t>3A30130007-12200421-003006C06</t>
  </si>
  <si>
    <t>7A1400007-12B200421-002021W06</t>
  </si>
  <si>
    <t>PRINTER EPSON L6190 AIO (PZF0160421)</t>
  </si>
  <si>
    <t>3A30130007-12280421-003003C06</t>
  </si>
  <si>
    <t>7A1400007-12B280421-002014W06</t>
  </si>
  <si>
    <t>SCANNER (PA2901216)</t>
  </si>
  <si>
    <t>3A30130002-12311216-003003C06</t>
  </si>
  <si>
    <t>7A1500002-12B311216-002014W06</t>
  </si>
  <si>
    <t>SONY PROJECTOR (PA2901216)</t>
  </si>
  <si>
    <t>3A30110002-12311216-003003C06</t>
  </si>
  <si>
    <t>7A1600002-12B311216-002015W06</t>
  </si>
  <si>
    <t>PC HP PAVILION 510-P011D/I3-6100/4/1TB/DVD R</t>
  </si>
  <si>
    <t>3B10130002-12180517-003006C06</t>
  </si>
  <si>
    <t>7A1100002-12B180517-002025W06</t>
  </si>
  <si>
    <t>3B10130001-12180517-003006C06</t>
  </si>
  <si>
    <t>7A1100001-12B180517-002014W06</t>
  </si>
  <si>
    <t>Printer EPSON L805</t>
  </si>
  <si>
    <t>3A30130002-12151117-003003C06</t>
  </si>
  <si>
    <t>7A1400002-12B151117-002025W06</t>
  </si>
  <si>
    <t>PC HP All in One 24 G251D (Y0P00AA)+Office Home &amp; Business 2016 (T5D-02274) (T5D</t>
  </si>
  <si>
    <t>3B10130004-12291217-003002C06</t>
  </si>
  <si>
    <t>7A1100004-12B291217-002007W06</t>
  </si>
  <si>
    <t>Layar Infocus</t>
  </si>
  <si>
    <t>3A30110002-11310318-003004C06</t>
  </si>
  <si>
    <t>7A1600002-12B310318-002015W06</t>
  </si>
  <si>
    <t xml:space="preserve">HP DEKSTOP PAVILLION 570-P-038 (PC Lengkap, termasuk Windows, Office) </t>
  </si>
  <si>
    <t>3B10130004-12310318-003003C06</t>
  </si>
  <si>
    <t>7A1100004-12B310318-002025W06</t>
  </si>
  <si>
    <t>3B10130001-12310318-003003C06</t>
  </si>
  <si>
    <t>7A1100001-12B310318-002014W06</t>
  </si>
  <si>
    <t>3B10130002-12310318-003003C06</t>
  </si>
  <si>
    <t>7A1100002-12B310318-002014W06</t>
  </si>
  <si>
    <t>3B10130003-12310318-003003C06</t>
  </si>
  <si>
    <t>7A1100003-12B310318-002014W06</t>
  </si>
  <si>
    <t>PC DELL BUSENESS DESKTOP VOSTRO 3670</t>
  </si>
  <si>
    <t>3B10130003-12250619-003003C06</t>
  </si>
  <si>
    <t>7A1100003-12B250619-002014W06</t>
  </si>
  <si>
    <t>LAPTOP DELL INSPIRON 15 5570</t>
  </si>
  <si>
    <t>3A30130003-12260619-003003C06</t>
  </si>
  <si>
    <t>7A1200003-12B250619-002021W06</t>
  </si>
  <si>
    <t>EPSON PRINTER L 6190</t>
  </si>
  <si>
    <t>3A30130001-12060619-003003C06</t>
  </si>
  <si>
    <t>7A1400001-12B260619-002014W06</t>
  </si>
  <si>
    <t>BROTHER SCANNER ADS-3000N</t>
  </si>
  <si>
    <t>3A30130004-12260619-003003C06</t>
  </si>
  <si>
    <t>7A1500004-12B260619-002014W06</t>
  </si>
  <si>
    <t>Printer Epson EcoTank L6290 (BZF0080624)</t>
  </si>
  <si>
    <t>3A30130001-12120624-002003W06</t>
  </si>
  <si>
    <t>7A1400001-12B120624-002014W06</t>
  </si>
  <si>
    <t>A3.</t>
  </si>
  <si>
    <t>Peralatan</t>
  </si>
  <si>
    <t>PABX</t>
  </si>
  <si>
    <t>3A30090002-11131015-003006C06</t>
  </si>
  <si>
    <t>6A4100002-12D131015-002021W06</t>
  </si>
  <si>
    <t>AC PANASONIC</t>
  </si>
  <si>
    <t>3C30110002-11300416-003003C06</t>
  </si>
  <si>
    <t>6A3200002-12C300416-002007W06</t>
  </si>
  <si>
    <t>6A3200001-12C310816-002025W06</t>
  </si>
  <si>
    <t>Hilang</t>
  </si>
  <si>
    <t>SAMSUNG LED TV (PA2901216)</t>
  </si>
  <si>
    <t>3A30110001-11311216-003003C06</t>
  </si>
  <si>
    <t>6C6500001-12B311216-002015W06</t>
  </si>
  <si>
    <t>GENSET 100KVA PERKINS (Silent Type) (BZF0260420)</t>
  </si>
  <si>
    <t>3C10080002-12270420-003011C06</t>
  </si>
  <si>
    <t>6A1100002-12A270420-002026W06</t>
  </si>
  <si>
    <t>RUANG GENSET</t>
  </si>
  <si>
    <t>WET &amp; DRY VACUUM CLEANER VC 60-2 KDSD (PZF0020420)</t>
  </si>
  <si>
    <t>3C50080002-11300420-003006C06</t>
  </si>
  <si>
    <t>6A6100002-12B300420-002026W06</t>
  </si>
  <si>
    <t>CCTV (PZF0020620)</t>
  </si>
  <si>
    <t>3A30110002-11300620-003003C06</t>
  </si>
  <si>
    <t>6C6600002-12B300620-002021W06</t>
  </si>
  <si>
    <t>APAR OFI KAPASITAS 25 KG (RODA/TROLLY) MERK OFI (PZF0120620)</t>
  </si>
  <si>
    <t>3C90180001-12300620-002014W06</t>
  </si>
  <si>
    <t>6A7200001-12B300620-002026W06</t>
  </si>
  <si>
    <t>AREA LUAR GEDUNG</t>
  </si>
  <si>
    <t>3C90080002-11300620-003011C06</t>
  </si>
  <si>
    <t>6A7200002-12B300620-002026W06</t>
  </si>
  <si>
    <t>FIRE PUMP PFPN-23HPVGD-2D (PZF0130620)</t>
  </si>
  <si>
    <t>EXHAUST FAN KDK</t>
  </si>
  <si>
    <t>3A10100001-22111010-003007C06</t>
  </si>
  <si>
    <t>6A3100001-12C111010-002025W06</t>
  </si>
  <si>
    <t>3A10100002-22111010-003007C06</t>
  </si>
  <si>
    <t>6A3100002-12C111010-002025W06</t>
  </si>
  <si>
    <t>3C30110002-11280515-003013C06</t>
  </si>
  <si>
    <t>6A3200003-12C181113-002014W06</t>
  </si>
  <si>
    <t>3C30110003-11280515-003013C06</t>
  </si>
  <si>
    <t>6A3200002-12C280515-002014W06</t>
  </si>
  <si>
    <t>3C30110005-11301116-003013C06</t>
  </si>
  <si>
    <t>6A3200003-12C280515-002014W06</t>
  </si>
  <si>
    <t>3C30110002-11110614-003013C06</t>
  </si>
  <si>
    <t>6A3200005-12C301116-002014W06</t>
  </si>
  <si>
    <t>RUSAK</t>
  </si>
  <si>
    <t>3C30110003-11110614-003013C06</t>
  </si>
  <si>
    <t>6A3200002-12C110614-002014W06</t>
  </si>
  <si>
    <t>3C30110004-11110614-003013C06</t>
  </si>
  <si>
    <t>6A3200003-12C110614-002014W06</t>
  </si>
  <si>
    <t>3C30110006-11280916-003003C06</t>
  </si>
  <si>
    <t>6A3200004-12C110614-002007W06</t>
  </si>
  <si>
    <t>MUSHOLA LT. 2</t>
  </si>
  <si>
    <t>3C30110007-11280916-003009C06</t>
  </si>
  <si>
    <t>6A3200006-12C280916-002020W06</t>
  </si>
  <si>
    <t>3C30110008-11301116-003008C06</t>
  </si>
  <si>
    <t>6A3200007-12C280916-002022W06</t>
  </si>
  <si>
    <t>3C30110005-11280515-003008C06</t>
  </si>
  <si>
    <t>6A3200008-12C301116-002025W06</t>
  </si>
  <si>
    <t>3C30110006-11280515-003008C06</t>
  </si>
  <si>
    <t>6A3200005-12C280515-002025W06</t>
  </si>
  <si>
    <t>3C30110003-11181113-003008C06</t>
  </si>
  <si>
    <t>6A3200006-12C280515-002025W06</t>
  </si>
  <si>
    <t>3C30110009-11260416-003003C06</t>
  </si>
  <si>
    <t>6A3200009-12C260416-002025W06</t>
  </si>
  <si>
    <t>3C30110001-11031110-003003C06</t>
  </si>
  <si>
    <t>6A3200007-12C280515-002025W06</t>
  </si>
  <si>
    <t>TANDON AIR TYPE PS 1100</t>
  </si>
  <si>
    <t>3C00180001-12290808-002006W06</t>
  </si>
  <si>
    <t>6A7200001-12B290808-002026W06</t>
  </si>
  <si>
    <t>ROOF TOP</t>
  </si>
  <si>
    <t>SCREENVIEW MOTORIZED SCREEN (BZF0101221)</t>
  </si>
  <si>
    <t>3A30060001-11291121-003004C06</t>
  </si>
  <si>
    <t>6C6700001-12B101221-002015W06</t>
  </si>
  <si>
    <t>KAMERA EOS 80D KIT 18-55mm IS STM HITAM (BZF0170422)</t>
  </si>
  <si>
    <t>3A30180001-11200422-003003C06</t>
  </si>
  <si>
    <t>6C6100001-12B200422-002021W06</t>
  </si>
  <si>
    <t>AC Split Daikin Thailand 2 PK (BZF0160423)</t>
  </si>
  <si>
    <t>3A30110002-11270423-002008W06</t>
  </si>
  <si>
    <t>6A3200002-12C270423-002028W06</t>
  </si>
  <si>
    <t>RUANG LOBBY</t>
  </si>
  <si>
    <t>3A30110003-21270423-002008W06</t>
  </si>
  <si>
    <t>6A3200003-12C270423-002015W06</t>
  </si>
  <si>
    <t>3A00110006-21270423-002004W06</t>
  </si>
  <si>
    <t>6A3200006-12C270423-002015W06</t>
  </si>
  <si>
    <t>AC Split Daikin Thailand 1 PK (BZF0160423)</t>
  </si>
  <si>
    <t>3A30110004-11270423-002003W06</t>
  </si>
  <si>
    <t>6A3200004-12C270423-002014W06</t>
  </si>
  <si>
    <t>RUANG RESEPSIONIS</t>
  </si>
  <si>
    <t>3A30110005-11270423-002003W06</t>
  </si>
  <si>
    <t>6A3200005-12C270423-002014W06</t>
  </si>
  <si>
    <t>AC Split Daikin Thailand 2 PK (BZF0221223)</t>
  </si>
  <si>
    <t>3A30110009-11291223-002021W06</t>
  </si>
  <si>
    <t>6A3200009-12C291223-002020W06</t>
  </si>
  <si>
    <t>3A30110010-11291223-002021W06</t>
  </si>
  <si>
    <t>6A3200010-12C291223-002020W06</t>
  </si>
  <si>
    <t>3A30110011-11291223-002021W06</t>
  </si>
  <si>
    <t>6A3200011-12C291223-002020W06</t>
  </si>
  <si>
    <t>AC Split Daikin Thailand 1 PK (BZF0221223)</t>
  </si>
  <si>
    <t>3A30110007-11270423-002015W06</t>
  </si>
  <si>
    <t>6A3200013-12C291223-002014W06</t>
  </si>
  <si>
    <t>AC SPLIT DAIKIN 2 PK  (BZF0100521)</t>
  </si>
  <si>
    <t>3C30110003-11050521-003003C06</t>
  </si>
  <si>
    <t>6A3200001-12C050521-002015W06</t>
  </si>
  <si>
    <t>3C30110002-11050521-003003C06</t>
  </si>
  <si>
    <t>6A3200002-12C050521-002015W06</t>
  </si>
  <si>
    <t>3A30110002-11311216-003003C06</t>
  </si>
  <si>
    <t>6C6500002-12B311216-002015W06</t>
  </si>
  <si>
    <t>FAX PANASONIC (PA2901216)</t>
  </si>
  <si>
    <t>3A30090002-11311216-003003C06</t>
  </si>
  <si>
    <t>6A4100002-12D311216-002025W06</t>
  </si>
  <si>
    <t>Peralatan Golf</t>
  </si>
  <si>
    <t>3A20170002-11270218-003006C06</t>
  </si>
  <si>
    <t>6D1100002-12B270218-002025W06</t>
  </si>
  <si>
    <t>Kamera</t>
  </si>
  <si>
    <t>3A30180003-11270218-003006C06</t>
  </si>
  <si>
    <t>6C6100003-12B270218-002021W06</t>
  </si>
  <si>
    <t>Handycam</t>
  </si>
  <si>
    <t>3A30110002-11270218-003006C06</t>
  </si>
  <si>
    <t>6C6200002-12B270218-002021W06</t>
  </si>
  <si>
    <t>Sound system (yamaha)</t>
  </si>
  <si>
    <t>3A30120002-11290318-003013C06
3A30120003-11290318-003013C06
3A30120004-11290318-003013C06
3A30120005-11290318-003013C06
3A30120006-11290318-003013C06
3A30120001-11290318-003013C06
3A30120001-11290318-003013C06</t>
  </si>
  <si>
    <t>6C6300001-12B290318-002015W06</t>
  </si>
  <si>
    <t>AC 1,5 PK DAIKIN</t>
  </si>
  <si>
    <t>3C30110008-11310318-003003C06</t>
  </si>
  <si>
    <t>6A3200008-12C310318-002014W06</t>
  </si>
  <si>
    <t>3C30110007-11310318-003003C06</t>
  </si>
  <si>
    <t>6A3200007-12C310318-002020W06</t>
  </si>
  <si>
    <t>RUANG ARSIP LT. 3</t>
  </si>
  <si>
    <t>3C30110006-11310318-003003C06</t>
  </si>
  <si>
    <t>6A3200006-12C310318-002020W06</t>
  </si>
  <si>
    <t>3C30110005-11310318-003003C06</t>
  </si>
  <si>
    <t>6A3200005-12C310318-002015W06</t>
  </si>
  <si>
    <t>SONY LED TV - 43 INCH</t>
  </si>
  <si>
    <t>3A30110003-11290319-003013C06</t>
  </si>
  <si>
    <t>6C6500003-12B290319-002014W06</t>
  </si>
  <si>
    <t>MEJA PINGPONG SHIAMIQ MTM-800 SI</t>
  </si>
  <si>
    <t>3A20040002-11270619-003014C06</t>
  </si>
  <si>
    <t>6D1100002-12B270619-002025W06</t>
  </si>
  <si>
    <t>AREA PARKIR</t>
  </si>
  <si>
    <t>Sound System</t>
  </si>
  <si>
    <t>3A30120002-11270519-003013C06
3A30120001-11270519-003013C06
3A30120003-11270519-003013C06
3A30120004-11270519-003013C06
3A30110004-11270519-003013C06</t>
  </si>
  <si>
    <t>6C6300001-12B270519-002015W06</t>
  </si>
  <si>
    <t>AC DAIKIN 1 PK (BZF0280320)</t>
  </si>
  <si>
    <t>3C30110002-11270320-003003C06</t>
  </si>
  <si>
    <t>6A3200002-12C270320-002016W06</t>
  </si>
  <si>
    <t>3C30110004-11270320-003003C06</t>
  </si>
  <si>
    <t>6A3200004-12C270320-002020W06</t>
  </si>
  <si>
    <t>RUANG SOUVENIR</t>
  </si>
  <si>
    <t>AC DAIKIN 1,5 PK (BZF0280320)</t>
  </si>
  <si>
    <t>3C301100012-11270320-003003C06</t>
  </si>
  <si>
    <t>6A3200012-12C270320-002014W06</t>
  </si>
  <si>
    <t>3C30110005-11270320-003003C06</t>
  </si>
  <si>
    <t>6A3200005-12C270320-002014W06</t>
  </si>
  <si>
    <t>3C30110006-11270320-003003C06</t>
  </si>
  <si>
    <t>6A3200003-12C270320-002004W06</t>
  </si>
  <si>
    <t>3C30110007-11270320-003003C06</t>
  </si>
  <si>
    <t>6A3200006-12C270320-002015W06</t>
  </si>
  <si>
    <t>3C30110008-11270320-003003C06</t>
  </si>
  <si>
    <t>6A3200007-12C270320-002014W06</t>
  </si>
  <si>
    <t>3C30110001-11270320-003003C06</t>
  </si>
  <si>
    <t>6A3200008-12C270320-002014W06</t>
  </si>
  <si>
    <t>3C301100010-11270320-003003C06</t>
  </si>
  <si>
    <t>6A3200001-12C270320-002014W06</t>
  </si>
  <si>
    <t>3C30110009-11270320-003003C06</t>
  </si>
  <si>
    <t>6A3200010-12C270320-002015W06</t>
  </si>
  <si>
    <t>3C301100011-11270320-003003C06</t>
  </si>
  <si>
    <t>6A3200009-12C270320-002015W06</t>
  </si>
  <si>
    <t>KASUR SPRING BED COMFORTA 120X200 (BZF0180421)</t>
  </si>
  <si>
    <t>3D00150002-12090421-003015C06</t>
  </si>
  <si>
    <t>6B5100003-12B090421-002019W06</t>
  </si>
  <si>
    <t>AC SPLIT DAIKIN  1 PK (BZF0230421)</t>
  </si>
  <si>
    <t>3C30110003-11160421-003015C06</t>
  </si>
  <si>
    <t>6A3200003-12C260421-002019W06</t>
  </si>
  <si>
    <t>3C30110004-11160421-003015C06</t>
  </si>
  <si>
    <t>6A3200004-12C260421-002019W06</t>
  </si>
  <si>
    <t>Genset TCA 5000 Watt (BZF0160423)</t>
  </si>
  <si>
    <t>3C10080001-12270423-002015W06</t>
  </si>
  <si>
    <t>6A1100001-12A270423-002019W06</t>
  </si>
  <si>
    <t>3A30110013-11291223-002021W06</t>
  </si>
  <si>
    <t>6A3200007-12C270423-002019W06</t>
  </si>
  <si>
    <t>3D10110014-11291223-002021W06</t>
  </si>
  <si>
    <t>6A3200008-12C270423-002019W06</t>
  </si>
  <si>
    <t>SMART TV SONY 55 INCH (BZF0160423)</t>
  </si>
  <si>
    <t>3D10110001-11270423-002015W06</t>
  </si>
  <si>
    <t>6C6500001-12B270423-002019W06</t>
  </si>
  <si>
    <t>3A30110008-11270423-002015W06</t>
  </si>
  <si>
    <t>6A3200001-12C291223-002019W06</t>
  </si>
  <si>
    <t>Mesin Cuci Samsung Front Loading (BZF0180524)</t>
  </si>
  <si>
    <t>3D10080001-11300524-002015W06</t>
  </si>
  <si>
    <t>6B5100001-12B300524-002019W06</t>
  </si>
  <si>
    <t>3D10110014-11291223-002015W06</t>
  </si>
  <si>
    <t>6A3200014-12C291223-002014W06</t>
  </si>
  <si>
    <t>LOGITECH Group Video Conferencing System + Cable + HDMI (BZF0221223)</t>
  </si>
  <si>
    <t>3A00120001-11291223-002011W06</t>
  </si>
  <si>
    <t>6C6700001-12B291223-002015W06</t>
  </si>
  <si>
    <t>LOGITECH Group Expansion Microphone &amp; KREZT Wireless Microphone (BZF0221223)</t>
  </si>
  <si>
    <t>ANYSONG Mic Wireless Podium PMM-3820 (BZF0221223)</t>
  </si>
  <si>
    <t>3A00120002-11291223-002013W06</t>
  </si>
  <si>
    <t>6C6700002-12B291223-002015W06</t>
  </si>
  <si>
    <t>FOCUSRITE Scarlett 4i4 3rd Gen SoundCard Recording USB Audio Interface (BZF02212</t>
  </si>
  <si>
    <t>Sony LED TV 65 INCH KD-65X80L (BZF0180524)</t>
  </si>
  <si>
    <t>3A301110001-11300524-002004W06</t>
  </si>
  <si>
    <t>6C6500001-12B300524-002015W06</t>
  </si>
  <si>
    <t>Tandon Air Stainless 965 L</t>
  </si>
  <si>
    <t>3C00180001-12310724-002006W06</t>
  </si>
  <si>
    <t>6A7200001-12B310724-002026W06</t>
  </si>
  <si>
    <t>Dispenser Sharp (BZF0120824)</t>
  </si>
  <si>
    <t>3A30110001-11190824-002004W06</t>
  </si>
  <si>
    <t>6B1300001-12B190824-002015W06</t>
  </si>
  <si>
    <t>AC Split National 3/4 PK</t>
  </si>
  <si>
    <t>3D00150001-11040603-003015C06</t>
  </si>
  <si>
    <t>6A3200001-12C040603-002025W06</t>
  </si>
  <si>
    <t>AC Split CS/CU-C59KJ Panasonic 1/2 pk</t>
  </si>
  <si>
    <t>3C30110001-11270404-003015C06</t>
  </si>
  <si>
    <t>6A3200001-12C270404-002025W06</t>
  </si>
  <si>
    <t>Lemari Es 2 (Dua) Pintu</t>
  </si>
  <si>
    <t>3A30110001-11070113-003015C06</t>
  </si>
  <si>
    <t>6B1100001-12B070113-002024W06</t>
  </si>
  <si>
    <t>PANTRY</t>
  </si>
  <si>
    <t>AC PANASONIC 1 PK</t>
  </si>
  <si>
    <t>3C30110002-11301116-003015C06</t>
  </si>
  <si>
    <t>6A3200002-12C301116-002019W06</t>
  </si>
  <si>
    <t>3C30110003-11301116-003015C06</t>
  </si>
  <si>
    <t>6A3200003-12C301116-002019W06</t>
  </si>
  <si>
    <t>3C30110004-11301116-003015C06</t>
  </si>
  <si>
    <t>6A3200004-12C301116-002019W06</t>
  </si>
  <si>
    <t>Spring Bed Winsor</t>
  </si>
  <si>
    <t>3D00150001-12211217-003015C06</t>
  </si>
  <si>
    <t>6B5100001-12B211217-002019W06</t>
  </si>
  <si>
    <t>MESIN CUCI AQUA FRONT LOADING</t>
  </si>
  <si>
    <t>3D10080001-11290318-003015C06</t>
  </si>
  <si>
    <t>6B5100001-12B290318-002025W06</t>
  </si>
  <si>
    <t>KULKAS ELECTROLUX (Small 2 Door)</t>
  </si>
  <si>
    <t>3A30110002-11310719-003015C06</t>
  </si>
  <si>
    <t>6B1100002-12B310719-002019W06</t>
  </si>
  <si>
    <t>MICROWAVE ELECTROLUX (Countertop)</t>
  </si>
  <si>
    <t>3A30110001-11310719-003015C06</t>
  </si>
  <si>
    <t>6B1200001-12B310719-002019W06</t>
  </si>
  <si>
    <t>WATER HEATER DAALDEROP</t>
  </si>
  <si>
    <t>3D10080001-12310719-003015C06</t>
  </si>
  <si>
    <t>6B1300001-12B310719-002019W06</t>
  </si>
  <si>
    <t>AC DAIKIN 3/4 PK (BZF0290320)</t>
  </si>
  <si>
    <t>3C30110013-11300320-003015C06</t>
  </si>
  <si>
    <t>6A3200013-12C300320-002019W06</t>
  </si>
  <si>
    <t>DIVIDER RUANG TAMU (PZF0220320)</t>
  </si>
  <si>
    <t>3D00180001-12270320-002015W06</t>
  </si>
  <si>
    <t>6B5100001-12B270320-002019W06</t>
  </si>
  <si>
    <t>KASUR SPRING BED COMFORTA 180X200 (BZF0180421)</t>
  </si>
  <si>
    <t>3D00150001-12090421-003015C06</t>
  </si>
  <si>
    <t>6B5100001-12B090421-002019W06</t>
  </si>
  <si>
    <t>3D00150003-12090421-003015C06</t>
  </si>
  <si>
    <t>6B5100002-12B090421-002019W06</t>
  </si>
  <si>
    <t>ASHLEY KING NOTE 8 Audio Mixer</t>
  </si>
  <si>
    <t>3B00120001-11110725-002004W06</t>
  </si>
  <si>
    <t>6C6300001-12B160625-002018W06</t>
  </si>
  <si>
    <t>Obsbot Webcam Tiny 2 Lite AL-Powered 4K UHD PTZ Camera</t>
  </si>
  <si>
    <t>3B00110001-11110725-002004W06</t>
  </si>
  <si>
    <t>6C6100001-12B290525-002014W06</t>
  </si>
  <si>
    <t>A5.</t>
  </si>
  <si>
    <t>MESIN</t>
  </si>
  <si>
    <t>POMPA TRANSFER GRUNDFOS NS 30-30T (PZF0020420)</t>
  </si>
  <si>
    <t>3C90080002-11300420-003011C06</t>
  </si>
  <si>
    <t>5A1300002-12A300420-002026W06</t>
  </si>
  <si>
    <t>RUANG POMPA AIR</t>
  </si>
  <si>
    <t>JET PUM GRUNDFOS JPA 4-54 PT-V (PZF0020420)</t>
  </si>
  <si>
    <t>MESIN ABSENSI SOLUTION X 601 (PZF0010620)</t>
  </si>
  <si>
    <t>3A30080002-12300620-002003W06</t>
  </si>
  <si>
    <t>5C1100002-12A300620-002014W06</t>
  </si>
  <si>
    <t>PINTU MASUK</t>
  </si>
  <si>
    <t>PANEL POMPA OTOMATIS</t>
  </si>
  <si>
    <t>3A90080001-11301110-003011C06</t>
  </si>
  <si>
    <t>5A1300001-12A301110-002026W06</t>
  </si>
  <si>
    <t>POMPA AIR JET PUMP</t>
  </si>
  <si>
    <t>3A30080001-11181214-003011C06</t>
  </si>
  <si>
    <t>5A1300001-12A181214-002026W06</t>
  </si>
  <si>
    <t>MESIN PEMOTONG RUMPUT</t>
  </si>
  <si>
    <t>3A90080001-11110716-003011C06</t>
  </si>
  <si>
    <t>5C1100001-12A110716-002023W06</t>
  </si>
  <si>
    <t>POMPA GRUNDFOS JP 4-47 PT-V (BZF0210422)</t>
  </si>
  <si>
    <t>3A20080001-11230422-003011C06</t>
  </si>
  <si>
    <t>5A1300001-12A230422-002026W06</t>
  </si>
  <si>
    <t>Jumlah Inventaris Kantor</t>
  </si>
  <si>
    <t>B. RUMAH DINAS</t>
  </si>
  <si>
    <t xml:space="preserve">Rumah Dinas </t>
  </si>
  <si>
    <t>3A1100001-11B310819-002019W06</t>
  </si>
  <si>
    <t>Renovasi Rumah Dinas</t>
  </si>
  <si>
    <t>Renovasi Bangunan Rumah Jabatan</t>
  </si>
  <si>
    <t>3A1100001-11B230724-002019W06</t>
  </si>
  <si>
    <t>JUMLAH INVENTARIS RUMAH DINAS</t>
  </si>
  <si>
    <t>C. KENDARAAN</t>
  </si>
  <si>
    <t>Innova BRANDING</t>
  </si>
  <si>
    <t>4A1100001-12B281215-002023W06</t>
  </si>
  <si>
    <t>Sepeda motor HITAM</t>
  </si>
  <si>
    <t>4A3100001-12B311215-002023W06</t>
  </si>
  <si>
    <t>Sepeda motor supra MERAH</t>
  </si>
  <si>
    <t>4A3100001-12B141216-002023W06</t>
  </si>
  <si>
    <t>Innova HITAM</t>
  </si>
  <si>
    <t>4A1100001-12B310717-002023W06</t>
  </si>
  <si>
    <t>JUMLAH KENDARAAN</t>
  </si>
  <si>
    <t>D. TANAH</t>
  </si>
  <si>
    <t xml:space="preserve">Tanah Rumah Dinas </t>
  </si>
  <si>
    <t>1A1100001-14181203-002019W06</t>
  </si>
  <si>
    <t>Tanah Gedung Kantor</t>
  </si>
  <si>
    <t>1A1100001-14010197-002012W06</t>
  </si>
  <si>
    <t>JUMLAH ASSET TANAH</t>
  </si>
  <si>
    <t>E. GEDUNG</t>
  </si>
  <si>
    <t>Gedung Kantor</t>
  </si>
  <si>
    <t>2A1100001-11A300418-002012W06</t>
  </si>
  <si>
    <t>Pembangunan Tempat Parkir Mobil</t>
  </si>
  <si>
    <t>Perluasan Ruang Kerja Kanwil Surabaya</t>
  </si>
  <si>
    <t>Koreksi Gedung untuk Pembangunan</t>
  </si>
  <si>
    <t>Pembangunan gedung</t>
  </si>
  <si>
    <t>Gedung Kantor Sdg Dibangun</t>
  </si>
  <si>
    <t>Gedung Kantor Renov 2018</t>
  </si>
  <si>
    <t>2A1100001-11A301118-002012W06</t>
  </si>
  <si>
    <t>Gedung Kantor Renov 2019</t>
  </si>
  <si>
    <t>2A1100001-11A311219-002012W06</t>
  </si>
  <si>
    <t>Gedung Kantor Renov 2020</t>
  </si>
  <si>
    <t>2A1100001-11A310120-002012W06</t>
  </si>
  <si>
    <t>2A1100001-11A230220-002012W06</t>
  </si>
  <si>
    <t>2A1100001-11A290220-002012W06</t>
  </si>
  <si>
    <t>JUMLAH GEDUNG KANTOR</t>
  </si>
  <si>
    <t>JUMLAH ASET</t>
  </si>
  <si>
    <t>HILANG</t>
  </si>
  <si>
    <t>CCTV IP Dahua</t>
  </si>
  <si>
    <t>Water Heater 50L Pro</t>
  </si>
  <si>
    <t>AC DAIKIN FTC25NV 1PK</t>
  </si>
  <si>
    <t>AC Daikin 2PK R32 FTC50YV14</t>
  </si>
  <si>
    <t>CCTV Rumah Dinas</t>
  </si>
  <si>
    <t>Access Point dan POE 4</t>
  </si>
  <si>
    <t>Access Point dan POE 6</t>
  </si>
  <si>
    <t>Access Point dan POE 2</t>
  </si>
  <si>
    <t>Access Point dan POE 7</t>
  </si>
  <si>
    <t>Access Point dan POE 5</t>
  </si>
  <si>
    <t>Access Point dan POE 3</t>
  </si>
  <si>
    <t>Access Point dan POE 1</t>
  </si>
  <si>
    <t>6B1300001-12B150925-002004W06</t>
  </si>
  <si>
    <t>6A3200001-12C080925-002014W06</t>
  </si>
  <si>
    <t>6C6600001-12B050326-002019W06</t>
  </si>
  <si>
    <t>6A4300004-12D130726-002014W06</t>
  </si>
  <si>
    <t>6A4300006-12D130726-002014W06</t>
  </si>
  <si>
    <t>6A4300002-12D130726-002014W06</t>
  </si>
  <si>
    <t>6A4300007-12D130726-002014W06</t>
  </si>
  <si>
    <t>6A4300005-12D130726-002014W06</t>
  </si>
  <si>
    <t>6A4300003-12D130726-002014W06</t>
  </si>
  <si>
    <t>6A4300001-12D130726-002014W06</t>
  </si>
  <si>
    <t>Belum Digunakan</t>
  </si>
  <si>
    <t>RUANG BAWAH TANGGA</t>
  </si>
  <si>
    <t>6C6600001-12B090925-002014W06</t>
  </si>
  <si>
    <t>BENQ PROYEKTOR E7006ST+PW03</t>
  </si>
  <si>
    <t>7A1600001-12B280925-002015W06</t>
  </si>
  <si>
    <t>UMUR PAKAI S/D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</si>
</sst>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[$-421]dd\ mmmm\ yyyy;@"/>
    <numFmt numFmtId="168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rebuchet MS"/>
      <family val="2"/>
    </font>
    <font>
      <b/>
      <sz val="10"/>
      <name val="Trebuchet MS"/>
      <family val="2"/>
    </font>
    <font>
      <b/>
      <sz val="10"/>
      <color indexed="8"/>
      <name val="Trebuchet MS"/>
      <family val="2"/>
    </font>
    <font>
      <b/>
      <sz val="10"/>
      <color rgb="FFC00000"/>
      <name val="Trebuchet MS"/>
      <family val="2"/>
    </font>
    <font>
      <sz val="10"/>
      <color theme="1"/>
      <name val="Trebuchet MS"/>
      <family val="2"/>
    </font>
    <font>
      <sz val="10"/>
      <name val="Trebuchet MS"/>
      <family val="2"/>
    </font>
    <font>
      <sz val="10"/>
      <color rgb="FF00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1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168" fontId="9" fillId="5" borderId="1" xfId="2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67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66" fontId="6" fillId="0" borderId="3" xfId="2" applyNumberFormat="1" applyFont="1" applyFill="1" applyBorder="1" applyAlignment="1">
      <alignment vertical="center"/>
    </xf>
    <xf numFmtId="0" fontId="6" fillId="0" borderId="6" xfId="2" applyNumberFormat="1" applyFont="1" applyFill="1" applyBorder="1" applyAlignment="1">
      <alignment vertical="center"/>
    </xf>
    <xf numFmtId="0" fontId="10" fillId="0" borderId="1" xfId="0" applyFont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167" fontId="6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6" fontId="6" fillId="0" borderId="1" xfId="2" applyNumberFormat="1" applyFont="1" applyFill="1" applyBorder="1" applyAlignment="1">
      <alignment horizontal="center" vertical="center"/>
    </xf>
    <xf numFmtId="0" fontId="6" fillId="0" borderId="4" xfId="2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167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/>
    <xf numFmtId="14" fontId="10" fillId="2" borderId="1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vertical="top"/>
    </xf>
    <xf numFmtId="167" fontId="10" fillId="0" borderId="9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vertical="top"/>
    </xf>
    <xf numFmtId="167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6" fillId="2" borderId="8" xfId="0" applyFont="1" applyFill="1" applyBorder="1" applyAlignment="1">
      <alignment vertical="center"/>
    </xf>
    <xf numFmtId="167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7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7" fontId="11" fillId="2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10" fillId="3" borderId="1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vertical="top"/>
    </xf>
    <xf numFmtId="0" fontId="7" fillId="2" borderId="11" xfId="0" applyFont="1" applyFill="1" applyBorder="1" applyAlignment="1">
      <alignment vertical="center"/>
    </xf>
    <xf numFmtId="167" fontId="11" fillId="2" borderId="2" xfId="0" applyNumberFormat="1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0" fontId="10" fillId="4" borderId="1" xfId="0" applyFont="1" applyFill="1" applyBorder="1"/>
    <xf numFmtId="167" fontId="10" fillId="4" borderId="1" xfId="0" applyNumberFormat="1" applyFont="1" applyFill="1" applyBorder="1" applyAlignment="1">
      <alignment horizontal="center"/>
    </xf>
    <xf numFmtId="167" fontId="10" fillId="0" borderId="0" xfId="0" applyNumberFormat="1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4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7" fillId="2" borderId="8" xfId="0" applyFont="1" applyFill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4" fontId="11" fillId="2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center" vertical="center"/>
    </xf>
    <xf numFmtId="165" fontId="10" fillId="2" borderId="4" xfId="1" applyFont="1" applyFill="1" applyBorder="1" applyAlignment="1">
      <alignment vertical="center"/>
    </xf>
    <xf numFmtId="165" fontId="10" fillId="2" borderId="10" xfId="1" applyFont="1" applyFill="1" applyBorder="1" applyAlignment="1">
      <alignment vertical="center"/>
    </xf>
    <xf numFmtId="167" fontId="10" fillId="4" borderId="1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7" fontId="10" fillId="2" borderId="4" xfId="1" applyNumberFormat="1" applyFont="1" applyFill="1" applyBorder="1" applyAlignment="1">
      <alignment vertical="center"/>
    </xf>
    <xf numFmtId="167" fontId="10" fillId="2" borderId="10" xfId="1" applyNumberFormat="1" applyFont="1" applyFill="1" applyBorder="1" applyAlignment="1">
      <alignment vertical="center"/>
    </xf>
    <xf numFmtId="167" fontId="12" fillId="6" borderId="1" xfId="0" applyNumberFormat="1" applyFont="1" applyFill="1" applyBorder="1" applyAlignment="1">
      <alignment horizontal="center" wrapText="1"/>
    </xf>
    <xf numFmtId="167" fontId="12" fillId="6" borderId="0" xfId="0" applyNumberFormat="1" applyFont="1" applyFill="1" applyAlignment="1">
      <alignment horizontal="center" vertical="center" wrapText="1"/>
    </xf>
    <xf numFmtId="167" fontId="12" fillId="6" borderId="1" xfId="0" applyNumberFormat="1" applyFont="1" applyFill="1" applyBorder="1" applyAlignment="1">
      <alignment horizontal="center" vertical="center" wrapText="1"/>
    </xf>
    <xf numFmtId="164" fontId="10" fillId="0" borderId="4" xfId="2" applyFont="1" applyBorder="1" applyAlignment="1">
      <alignment vertical="center"/>
    </xf>
    <xf numFmtId="164" fontId="6" fillId="2" borderId="4" xfId="2" applyFont="1" applyFill="1" applyBorder="1" applyAlignment="1">
      <alignment vertical="center"/>
    </xf>
    <xf numFmtId="164" fontId="6" fillId="2" borderId="10" xfId="2" applyFont="1" applyFill="1" applyBorder="1" applyAlignment="1">
      <alignment vertical="center"/>
    </xf>
    <xf numFmtId="164" fontId="10" fillId="0" borderId="1" xfId="2" applyFont="1" applyBorder="1" applyAlignment="1">
      <alignment vertical="center"/>
    </xf>
    <xf numFmtId="164" fontId="6" fillId="4" borderId="1" xfId="2" applyFont="1" applyFill="1" applyBorder="1" applyAlignment="1">
      <alignment vertical="center"/>
    </xf>
    <xf numFmtId="164" fontId="10" fillId="0" borderId="0" xfId="2" applyFont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2" borderId="4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164" fontId="8" fillId="5" borderId="2" xfId="2" applyFont="1" applyFill="1" applyBorder="1" applyAlignment="1">
      <alignment horizontal="center" vertical="center" wrapText="1"/>
    </xf>
    <xf numFmtId="164" fontId="8" fillId="5" borderId="3" xfId="2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7" fontId="6" fillId="5" borderId="2" xfId="0" applyNumberFormat="1" applyFont="1" applyFill="1" applyBorder="1" applyAlignment="1">
      <alignment horizontal="center" vertical="center"/>
    </xf>
    <xf numFmtId="167" fontId="6" fillId="5" borderId="3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67" fontId="6" fillId="5" borderId="1" xfId="1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2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/>
    </xf>
    <xf numFmtId="167" fontId="6" fillId="5" borderId="4" xfId="0" applyNumberFormat="1" applyFont="1" applyFill="1" applyBorder="1" applyAlignment="1">
      <alignment horizontal="center" vertical="center"/>
    </xf>
    <xf numFmtId="167" fontId="6" fillId="5" borderId="7" xfId="0" applyNumberFormat="1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6" fontId="6" fillId="5" borderId="1" xfId="2" applyNumberFormat="1" applyFont="1" applyFill="1" applyBorder="1" applyAlignment="1">
      <alignment horizontal="center" vertical="center"/>
    </xf>
    <xf numFmtId="0" fontId="6" fillId="5" borderId="1" xfId="2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2E0A-221B-42B7-A0CC-D9336D98BFB7}">
  <dimension ref="A2:P342"/>
  <sheetViews>
    <sheetView tabSelected="1" topLeftCell="A283" zoomScale="85" zoomScaleNormal="85" workbookViewId="0">
      <selection activeCell="G290" sqref="G290"/>
    </sheetView>
  </sheetViews>
  <sheetFormatPr defaultColWidth="12.453125" defaultRowHeight="13.5" x14ac:dyDescent="0.35"/>
  <cols>
    <col min="1" max="1" width="5.26953125" style="21" customWidth="1"/>
    <col min="2" max="2" width="52.453125" style="21" customWidth="1"/>
    <col min="3" max="4" width="5.1796875" style="97" bestFit="1" customWidth="1"/>
    <col min="5" max="5" width="5.453125" style="97" bestFit="1" customWidth="1"/>
    <col min="6" max="6" width="19.81640625" style="68" bestFit="1" customWidth="1"/>
    <col min="7" max="7" width="21.54296875" style="77" customWidth="1"/>
    <col min="8" max="8" width="21.453125" style="77" customWidth="1"/>
    <col min="9" max="9" width="18" style="21" bestFit="1" customWidth="1"/>
    <col min="10" max="10" width="20.54296875" style="21" bestFit="1" customWidth="1"/>
    <col min="11" max="11" width="26.81640625" style="21" bestFit="1" customWidth="1"/>
    <col min="12" max="12" width="20.453125" style="110" bestFit="1" customWidth="1"/>
    <col min="13" max="13" width="17.26953125" style="92" customWidth="1"/>
    <col min="14" max="14" width="10" style="97" bestFit="1" customWidth="1"/>
    <col min="15" max="15" width="12.453125" style="97"/>
    <col min="16" max="16" width="14" style="97" customWidth="1"/>
    <col min="17" max="16384" width="12.453125" style="21"/>
  </cols>
  <sheetData>
    <row r="2" spans="1:16" x14ac:dyDescent="0.35">
      <c r="A2" s="124" t="s">
        <v>0</v>
      </c>
      <c r="B2" s="124" t="s">
        <v>1</v>
      </c>
      <c r="C2" s="134" t="s">
        <v>2</v>
      </c>
      <c r="D2" s="135"/>
      <c r="E2" s="135"/>
      <c r="F2" s="136"/>
      <c r="G2" s="69" t="s">
        <v>3</v>
      </c>
      <c r="H2" s="69" t="s">
        <v>4</v>
      </c>
      <c r="I2" s="1" t="s">
        <v>5</v>
      </c>
      <c r="J2" s="137" t="s">
        <v>6</v>
      </c>
      <c r="K2" s="138" t="s">
        <v>7</v>
      </c>
      <c r="L2" s="132" t="s">
        <v>8</v>
      </c>
      <c r="M2" s="130" t="s">
        <v>9</v>
      </c>
      <c r="N2" s="131" t="s">
        <v>10</v>
      </c>
      <c r="O2" s="122" t="s">
        <v>816</v>
      </c>
      <c r="P2" s="122" t="s">
        <v>11</v>
      </c>
    </row>
    <row r="3" spans="1:16" x14ac:dyDescent="0.35">
      <c r="A3" s="133"/>
      <c r="B3" s="133"/>
      <c r="C3" s="124" t="s">
        <v>12</v>
      </c>
      <c r="D3" s="124" t="s">
        <v>13</v>
      </c>
      <c r="E3" s="124" t="s">
        <v>14</v>
      </c>
      <c r="F3" s="126" t="s">
        <v>15</v>
      </c>
      <c r="G3" s="128" t="s">
        <v>16</v>
      </c>
      <c r="H3" s="128" t="s">
        <v>17</v>
      </c>
      <c r="I3" s="139" t="s">
        <v>17</v>
      </c>
      <c r="J3" s="137"/>
      <c r="K3" s="138"/>
      <c r="L3" s="132"/>
      <c r="M3" s="130"/>
      <c r="N3" s="131"/>
      <c r="O3" s="123"/>
      <c r="P3" s="123"/>
    </row>
    <row r="4" spans="1:16" x14ac:dyDescent="0.35">
      <c r="A4" s="125"/>
      <c r="B4" s="125"/>
      <c r="C4" s="125"/>
      <c r="D4" s="125"/>
      <c r="E4" s="125"/>
      <c r="F4" s="127"/>
      <c r="G4" s="129"/>
      <c r="H4" s="129"/>
      <c r="I4" s="140"/>
      <c r="J4" s="137"/>
      <c r="K4" s="138"/>
      <c r="L4" s="132"/>
      <c r="M4" s="130"/>
      <c r="N4" s="131"/>
      <c r="O4" s="2">
        <v>46234</v>
      </c>
      <c r="P4" s="2">
        <v>46234</v>
      </c>
    </row>
    <row r="5" spans="1:16" ht="14.5" customHeight="1" x14ac:dyDescent="0.35">
      <c r="A5" s="113" t="s">
        <v>18</v>
      </c>
      <c r="B5" s="114"/>
      <c r="C5" s="3"/>
      <c r="D5" s="3"/>
      <c r="E5" s="3"/>
      <c r="F5" s="4"/>
      <c r="G5" s="70"/>
      <c r="H5" s="70"/>
      <c r="I5" s="5"/>
      <c r="J5" s="6"/>
      <c r="K5" s="7"/>
      <c r="L5" s="105"/>
      <c r="M5" s="88"/>
      <c r="N5" s="93"/>
      <c r="O5" s="32"/>
      <c r="P5" s="32"/>
    </row>
    <row r="6" spans="1:16" x14ac:dyDescent="0.35">
      <c r="A6" s="9" t="s">
        <v>19</v>
      </c>
      <c r="B6" s="10" t="s">
        <v>20</v>
      </c>
      <c r="C6" s="30"/>
      <c r="D6" s="30"/>
      <c r="E6" s="30"/>
      <c r="F6" s="11"/>
      <c r="G6" s="71"/>
      <c r="H6" s="71"/>
      <c r="I6" s="12"/>
      <c r="J6" s="13"/>
      <c r="K6" s="14"/>
      <c r="L6" s="105"/>
      <c r="M6" s="88"/>
      <c r="N6" s="93"/>
      <c r="O6" s="32"/>
      <c r="P6" s="32"/>
    </row>
    <row r="7" spans="1:16" ht="27" x14ac:dyDescent="0.35">
      <c r="A7" s="15">
        <v>1</v>
      </c>
      <c r="B7" s="16" t="s">
        <v>21</v>
      </c>
      <c r="C7" s="19">
        <f>DAY(F7)</f>
        <v>25</v>
      </c>
      <c r="D7" s="19">
        <f>MONTH(F7)</f>
        <v>8</v>
      </c>
      <c r="E7" s="19">
        <f>YEAR(F7)</f>
        <v>2017</v>
      </c>
      <c r="F7" s="17">
        <v>42972</v>
      </c>
      <c r="G7" s="72" t="s">
        <v>22</v>
      </c>
      <c r="H7" s="72" t="s">
        <v>23</v>
      </c>
      <c r="I7" s="19">
        <v>14509</v>
      </c>
      <c r="J7" s="18" t="s">
        <v>24</v>
      </c>
      <c r="K7" s="20" t="s">
        <v>25</v>
      </c>
      <c r="L7" s="105">
        <v>3779100</v>
      </c>
      <c r="M7" s="88">
        <v>44798</v>
      </c>
      <c r="N7" s="20">
        <v>60</v>
      </c>
      <c r="O7" s="19">
        <f t="shared" ref="O7:O38" si="0">IF(F7="","",ROUND((($O$4-F7)*12/365),0))</f>
        <v>107</v>
      </c>
      <c r="P7" s="19" t="str">
        <f t="shared" ref="P7:P38" si="1">IF(F7="","",IF(O7&gt;=N7,"UMUR HABIS",N7-O7))</f>
        <v>UMUR HABIS</v>
      </c>
    </row>
    <row r="8" spans="1:16" ht="27" x14ac:dyDescent="0.35">
      <c r="A8" s="15">
        <v>2</v>
      </c>
      <c r="B8" s="16" t="s">
        <v>21</v>
      </c>
      <c r="C8" s="19">
        <f t="shared" ref="C8:C71" si="2">DAY(F8)</f>
        <v>25</v>
      </c>
      <c r="D8" s="19">
        <f t="shared" ref="D8:D71" si="3">MONTH(F8)</f>
        <v>8</v>
      </c>
      <c r="E8" s="19">
        <f t="shared" ref="E8:E71" si="4">YEAR(F8)</f>
        <v>2017</v>
      </c>
      <c r="F8" s="17">
        <v>42972</v>
      </c>
      <c r="G8" s="72" t="s">
        <v>26</v>
      </c>
      <c r="H8" s="72" t="s">
        <v>27</v>
      </c>
      <c r="I8" s="19">
        <v>14510</v>
      </c>
      <c r="J8" s="18" t="s">
        <v>24</v>
      </c>
      <c r="K8" s="20" t="s">
        <v>28</v>
      </c>
      <c r="L8" s="105">
        <v>3779100</v>
      </c>
      <c r="M8" s="88">
        <v>44798</v>
      </c>
      <c r="N8" s="20">
        <v>60</v>
      </c>
      <c r="O8" s="19">
        <f t="shared" si="0"/>
        <v>107</v>
      </c>
      <c r="P8" s="19" t="str">
        <f t="shared" si="1"/>
        <v>UMUR HABIS</v>
      </c>
    </row>
    <row r="9" spans="1:16" ht="27" x14ac:dyDescent="0.35">
      <c r="A9" s="15">
        <v>3</v>
      </c>
      <c r="B9" s="16" t="s">
        <v>21</v>
      </c>
      <c r="C9" s="19">
        <f t="shared" si="2"/>
        <v>25</v>
      </c>
      <c r="D9" s="19">
        <f t="shared" si="3"/>
        <v>8</v>
      </c>
      <c r="E9" s="19">
        <f t="shared" si="4"/>
        <v>2017</v>
      </c>
      <c r="F9" s="17">
        <v>42972</v>
      </c>
      <c r="G9" s="72" t="s">
        <v>29</v>
      </c>
      <c r="H9" s="72" t="s">
        <v>30</v>
      </c>
      <c r="I9" s="19">
        <v>14511</v>
      </c>
      <c r="J9" s="18" t="s">
        <v>24</v>
      </c>
      <c r="K9" s="20" t="s">
        <v>28</v>
      </c>
      <c r="L9" s="105">
        <v>3779100</v>
      </c>
      <c r="M9" s="88">
        <v>44798</v>
      </c>
      <c r="N9" s="20">
        <v>60</v>
      </c>
      <c r="O9" s="19">
        <f t="shared" si="0"/>
        <v>107</v>
      </c>
      <c r="P9" s="19" t="str">
        <f t="shared" si="1"/>
        <v>UMUR HABIS</v>
      </c>
    </row>
    <row r="10" spans="1:16" ht="27" x14ac:dyDescent="0.35">
      <c r="A10" s="15">
        <v>4</v>
      </c>
      <c r="B10" s="16" t="s">
        <v>21</v>
      </c>
      <c r="C10" s="19">
        <f t="shared" si="2"/>
        <v>25</v>
      </c>
      <c r="D10" s="19">
        <f t="shared" si="3"/>
        <v>8</v>
      </c>
      <c r="E10" s="19">
        <f t="shared" si="4"/>
        <v>2017</v>
      </c>
      <c r="F10" s="17">
        <v>42972</v>
      </c>
      <c r="G10" s="72" t="s">
        <v>31</v>
      </c>
      <c r="H10" s="72" t="s">
        <v>32</v>
      </c>
      <c r="I10" s="19">
        <v>14512</v>
      </c>
      <c r="J10" s="18" t="s">
        <v>24</v>
      </c>
      <c r="K10" s="20" t="s">
        <v>33</v>
      </c>
      <c r="L10" s="105">
        <v>3779100</v>
      </c>
      <c r="M10" s="88">
        <v>44798</v>
      </c>
      <c r="N10" s="20">
        <v>60</v>
      </c>
      <c r="O10" s="19">
        <f t="shared" si="0"/>
        <v>107</v>
      </c>
      <c r="P10" s="19" t="str">
        <f t="shared" si="1"/>
        <v>UMUR HABIS</v>
      </c>
    </row>
    <row r="11" spans="1:16" ht="27" x14ac:dyDescent="0.35">
      <c r="A11" s="15">
        <v>5</v>
      </c>
      <c r="B11" s="16" t="s">
        <v>21</v>
      </c>
      <c r="C11" s="19">
        <f t="shared" si="2"/>
        <v>25</v>
      </c>
      <c r="D11" s="19">
        <f t="shared" si="3"/>
        <v>8</v>
      </c>
      <c r="E11" s="19">
        <f t="shared" si="4"/>
        <v>2017</v>
      </c>
      <c r="F11" s="17">
        <v>42972</v>
      </c>
      <c r="G11" s="72" t="s">
        <v>34</v>
      </c>
      <c r="H11" s="72" t="s">
        <v>35</v>
      </c>
      <c r="I11" s="19">
        <v>14513</v>
      </c>
      <c r="J11" s="18" t="s">
        <v>24</v>
      </c>
      <c r="K11" s="20" t="s">
        <v>33</v>
      </c>
      <c r="L11" s="105">
        <v>3779100</v>
      </c>
      <c r="M11" s="88">
        <v>44798</v>
      </c>
      <c r="N11" s="20">
        <v>60</v>
      </c>
      <c r="O11" s="19">
        <f t="shared" si="0"/>
        <v>107</v>
      </c>
      <c r="P11" s="19" t="str">
        <f t="shared" si="1"/>
        <v>UMUR HABIS</v>
      </c>
    </row>
    <row r="12" spans="1:16" ht="27" x14ac:dyDescent="0.35">
      <c r="A12" s="15">
        <v>6</v>
      </c>
      <c r="B12" s="16" t="s">
        <v>21</v>
      </c>
      <c r="C12" s="19">
        <f t="shared" si="2"/>
        <v>25</v>
      </c>
      <c r="D12" s="19">
        <f t="shared" si="3"/>
        <v>8</v>
      </c>
      <c r="E12" s="19">
        <f t="shared" si="4"/>
        <v>2017</v>
      </c>
      <c r="F12" s="17">
        <v>42972</v>
      </c>
      <c r="G12" s="72" t="s">
        <v>36</v>
      </c>
      <c r="H12" s="72" t="s">
        <v>37</v>
      </c>
      <c r="I12" s="19">
        <v>14514</v>
      </c>
      <c r="J12" s="18" t="s">
        <v>24</v>
      </c>
      <c r="K12" s="20" t="s">
        <v>38</v>
      </c>
      <c r="L12" s="105">
        <v>3779100</v>
      </c>
      <c r="M12" s="88">
        <v>44798</v>
      </c>
      <c r="N12" s="20">
        <v>60</v>
      </c>
      <c r="O12" s="19">
        <f t="shared" si="0"/>
        <v>107</v>
      </c>
      <c r="P12" s="19" t="str">
        <f t="shared" si="1"/>
        <v>UMUR HABIS</v>
      </c>
    </row>
    <row r="13" spans="1:16" ht="27" x14ac:dyDescent="0.35">
      <c r="A13" s="15">
        <v>7</v>
      </c>
      <c r="B13" s="16" t="s">
        <v>21</v>
      </c>
      <c r="C13" s="19">
        <f t="shared" si="2"/>
        <v>25</v>
      </c>
      <c r="D13" s="19">
        <f t="shared" si="3"/>
        <v>8</v>
      </c>
      <c r="E13" s="19">
        <f t="shared" si="4"/>
        <v>2017</v>
      </c>
      <c r="F13" s="17">
        <v>42972</v>
      </c>
      <c r="G13" s="72" t="s">
        <v>39</v>
      </c>
      <c r="H13" s="72" t="s">
        <v>40</v>
      </c>
      <c r="I13" s="19">
        <v>14515</v>
      </c>
      <c r="J13" s="18" t="s">
        <v>24</v>
      </c>
      <c r="K13" s="20" t="s">
        <v>41</v>
      </c>
      <c r="L13" s="105">
        <v>3779100</v>
      </c>
      <c r="M13" s="88">
        <v>44798</v>
      </c>
      <c r="N13" s="20">
        <v>60</v>
      </c>
      <c r="O13" s="19">
        <f t="shared" si="0"/>
        <v>107</v>
      </c>
      <c r="P13" s="19" t="str">
        <f t="shared" si="1"/>
        <v>UMUR HABIS</v>
      </c>
    </row>
    <row r="14" spans="1:16" ht="27" x14ac:dyDescent="0.35">
      <c r="A14" s="15">
        <v>8</v>
      </c>
      <c r="B14" s="16" t="s">
        <v>42</v>
      </c>
      <c r="C14" s="19">
        <f t="shared" si="2"/>
        <v>1</v>
      </c>
      <c r="D14" s="19">
        <f t="shared" si="3"/>
        <v>1</v>
      </c>
      <c r="E14" s="19">
        <f t="shared" si="4"/>
        <v>1997</v>
      </c>
      <c r="F14" s="17">
        <v>35431</v>
      </c>
      <c r="G14" s="72" t="s">
        <v>43</v>
      </c>
      <c r="H14" s="72" t="s">
        <v>44</v>
      </c>
      <c r="I14" s="19">
        <v>14516</v>
      </c>
      <c r="J14" s="18" t="s">
        <v>24</v>
      </c>
      <c r="K14" s="20" t="s">
        <v>25</v>
      </c>
      <c r="L14" s="105">
        <v>1789000</v>
      </c>
      <c r="M14" s="88">
        <v>37257</v>
      </c>
      <c r="N14" s="20">
        <v>60</v>
      </c>
      <c r="O14" s="19">
        <f t="shared" si="0"/>
        <v>355</v>
      </c>
      <c r="P14" s="19" t="str">
        <f t="shared" si="1"/>
        <v>UMUR HABIS</v>
      </c>
    </row>
    <row r="15" spans="1:16" ht="27" x14ac:dyDescent="0.35">
      <c r="A15" s="15">
        <v>9</v>
      </c>
      <c r="B15" s="16" t="s">
        <v>45</v>
      </c>
      <c r="C15" s="19">
        <f t="shared" si="2"/>
        <v>29</v>
      </c>
      <c r="D15" s="19">
        <f t="shared" si="3"/>
        <v>11</v>
      </c>
      <c r="E15" s="19">
        <f t="shared" si="4"/>
        <v>2016</v>
      </c>
      <c r="F15" s="17">
        <v>42703</v>
      </c>
      <c r="G15" s="72" t="s">
        <v>46</v>
      </c>
      <c r="H15" s="72" t="s">
        <v>47</v>
      </c>
      <c r="I15" s="19">
        <v>14517</v>
      </c>
      <c r="J15" s="18" t="s">
        <v>24</v>
      </c>
      <c r="K15" s="20" t="s">
        <v>48</v>
      </c>
      <c r="L15" s="105">
        <v>3399000</v>
      </c>
      <c r="M15" s="88">
        <v>44529</v>
      </c>
      <c r="N15" s="20">
        <v>60</v>
      </c>
      <c r="O15" s="19">
        <f t="shared" si="0"/>
        <v>116</v>
      </c>
      <c r="P15" s="19" t="str">
        <f t="shared" si="1"/>
        <v>UMUR HABIS</v>
      </c>
    </row>
    <row r="16" spans="1:16" ht="27" x14ac:dyDescent="0.35">
      <c r="A16" s="15">
        <v>10</v>
      </c>
      <c r="B16" s="16" t="s">
        <v>49</v>
      </c>
      <c r="C16" s="19">
        <f t="shared" si="2"/>
        <v>27</v>
      </c>
      <c r="D16" s="19">
        <f t="shared" si="3"/>
        <v>9</v>
      </c>
      <c r="E16" s="19">
        <f t="shared" si="4"/>
        <v>2019</v>
      </c>
      <c r="F16" s="17">
        <v>43735</v>
      </c>
      <c r="G16" s="72" t="s">
        <v>50</v>
      </c>
      <c r="H16" s="72" t="s">
        <v>51</v>
      </c>
      <c r="I16" s="19">
        <v>14518</v>
      </c>
      <c r="J16" s="18" t="s">
        <v>24</v>
      </c>
      <c r="K16" s="20" t="s">
        <v>52</v>
      </c>
      <c r="L16" s="105">
        <v>21780298</v>
      </c>
      <c r="M16" s="88">
        <v>45562</v>
      </c>
      <c r="N16" s="20">
        <v>60</v>
      </c>
      <c r="O16" s="19">
        <f t="shared" si="0"/>
        <v>82</v>
      </c>
      <c r="P16" s="19" t="str">
        <f t="shared" si="1"/>
        <v>UMUR HABIS</v>
      </c>
    </row>
    <row r="17" spans="1:16" ht="27" x14ac:dyDescent="0.35">
      <c r="A17" s="15">
        <v>11</v>
      </c>
      <c r="B17" s="16" t="s">
        <v>53</v>
      </c>
      <c r="C17" s="19">
        <f t="shared" si="2"/>
        <v>21</v>
      </c>
      <c r="D17" s="19">
        <f t="shared" si="3"/>
        <v>10</v>
      </c>
      <c r="E17" s="19">
        <f t="shared" si="4"/>
        <v>2015</v>
      </c>
      <c r="F17" s="17">
        <v>42298</v>
      </c>
      <c r="G17" s="72" t="s">
        <v>54</v>
      </c>
      <c r="H17" s="72" t="s">
        <v>55</v>
      </c>
      <c r="I17" s="19">
        <v>14565</v>
      </c>
      <c r="J17" s="18" t="s">
        <v>24</v>
      </c>
      <c r="K17" s="20" t="s">
        <v>56</v>
      </c>
      <c r="L17" s="105">
        <v>3555000</v>
      </c>
      <c r="M17" s="88">
        <v>44125</v>
      </c>
      <c r="N17" s="20">
        <v>60</v>
      </c>
      <c r="O17" s="19">
        <f t="shared" si="0"/>
        <v>129</v>
      </c>
      <c r="P17" s="19" t="str">
        <f t="shared" si="1"/>
        <v>UMUR HABIS</v>
      </c>
    </row>
    <row r="18" spans="1:16" ht="27" x14ac:dyDescent="0.35">
      <c r="A18" s="15">
        <v>12</v>
      </c>
      <c r="B18" s="16" t="s">
        <v>57</v>
      </c>
      <c r="C18" s="19">
        <f t="shared" si="2"/>
        <v>25</v>
      </c>
      <c r="D18" s="19">
        <f t="shared" si="3"/>
        <v>10</v>
      </c>
      <c r="E18" s="19">
        <f t="shared" si="4"/>
        <v>2015</v>
      </c>
      <c r="F18" s="17">
        <v>42302</v>
      </c>
      <c r="G18" s="72" t="s">
        <v>58</v>
      </c>
      <c r="H18" s="72" t="s">
        <v>59</v>
      </c>
      <c r="I18" s="19">
        <v>14566</v>
      </c>
      <c r="J18" s="18" t="s">
        <v>24</v>
      </c>
      <c r="K18" s="20" t="s">
        <v>60</v>
      </c>
      <c r="L18" s="105">
        <v>6048150</v>
      </c>
      <c r="M18" s="88">
        <v>44129</v>
      </c>
      <c r="N18" s="20">
        <v>60</v>
      </c>
      <c r="O18" s="19">
        <f t="shared" si="0"/>
        <v>129</v>
      </c>
      <c r="P18" s="19" t="str">
        <f t="shared" si="1"/>
        <v>UMUR HABIS</v>
      </c>
    </row>
    <row r="19" spans="1:16" ht="27" x14ac:dyDescent="0.35">
      <c r="A19" s="15">
        <v>13</v>
      </c>
      <c r="B19" s="16" t="s">
        <v>57</v>
      </c>
      <c r="C19" s="19">
        <f t="shared" si="2"/>
        <v>25</v>
      </c>
      <c r="D19" s="19">
        <f t="shared" si="3"/>
        <v>10</v>
      </c>
      <c r="E19" s="19">
        <f t="shared" si="4"/>
        <v>2015</v>
      </c>
      <c r="F19" s="17">
        <v>42302</v>
      </c>
      <c r="G19" s="72" t="s">
        <v>61</v>
      </c>
      <c r="H19" s="72" t="s">
        <v>62</v>
      </c>
      <c r="I19" s="19">
        <v>14567</v>
      </c>
      <c r="J19" s="18" t="s">
        <v>24</v>
      </c>
      <c r="K19" s="20" t="s">
        <v>60</v>
      </c>
      <c r="L19" s="105">
        <v>7748150</v>
      </c>
      <c r="M19" s="88">
        <v>44129</v>
      </c>
      <c r="N19" s="20">
        <v>60</v>
      </c>
      <c r="O19" s="19">
        <f t="shared" si="0"/>
        <v>129</v>
      </c>
      <c r="P19" s="19" t="str">
        <f t="shared" si="1"/>
        <v>UMUR HABIS</v>
      </c>
    </row>
    <row r="20" spans="1:16" ht="27" x14ac:dyDescent="0.35">
      <c r="A20" s="15">
        <v>14</v>
      </c>
      <c r="B20" s="16" t="s">
        <v>63</v>
      </c>
      <c r="C20" s="19">
        <f t="shared" si="2"/>
        <v>15</v>
      </c>
      <c r="D20" s="19">
        <f t="shared" si="3"/>
        <v>12</v>
      </c>
      <c r="E20" s="19">
        <f t="shared" si="4"/>
        <v>2016</v>
      </c>
      <c r="F20" s="17">
        <v>42719</v>
      </c>
      <c r="G20" s="72" t="s">
        <v>64</v>
      </c>
      <c r="H20" s="72" t="s">
        <v>65</v>
      </c>
      <c r="I20" s="19">
        <v>14581</v>
      </c>
      <c r="J20" s="18" t="s">
        <v>24</v>
      </c>
      <c r="K20" s="20" t="s">
        <v>60</v>
      </c>
      <c r="L20" s="105">
        <v>3679500</v>
      </c>
      <c r="M20" s="88">
        <v>44545</v>
      </c>
      <c r="N20" s="20">
        <v>60</v>
      </c>
      <c r="O20" s="19">
        <f t="shared" si="0"/>
        <v>116</v>
      </c>
      <c r="P20" s="19" t="str">
        <f t="shared" si="1"/>
        <v>UMUR HABIS</v>
      </c>
    </row>
    <row r="21" spans="1:16" ht="27" x14ac:dyDescent="0.35">
      <c r="A21" s="15">
        <v>15</v>
      </c>
      <c r="B21" s="16" t="s">
        <v>63</v>
      </c>
      <c r="C21" s="19">
        <f t="shared" si="2"/>
        <v>16</v>
      </c>
      <c r="D21" s="19">
        <f t="shared" si="3"/>
        <v>12</v>
      </c>
      <c r="E21" s="19">
        <f t="shared" si="4"/>
        <v>2016</v>
      </c>
      <c r="F21" s="17">
        <v>42720</v>
      </c>
      <c r="G21" s="72" t="s">
        <v>66</v>
      </c>
      <c r="H21" s="72" t="s">
        <v>67</v>
      </c>
      <c r="I21" s="19">
        <v>14582</v>
      </c>
      <c r="J21" s="18" t="s">
        <v>24</v>
      </c>
      <c r="K21" s="20" t="s">
        <v>60</v>
      </c>
      <c r="L21" s="105">
        <v>3679500</v>
      </c>
      <c r="M21" s="88">
        <v>44546</v>
      </c>
      <c r="N21" s="20">
        <v>60</v>
      </c>
      <c r="O21" s="19">
        <f t="shared" si="0"/>
        <v>116</v>
      </c>
      <c r="P21" s="19" t="str">
        <f t="shared" si="1"/>
        <v>UMUR HABIS</v>
      </c>
    </row>
    <row r="22" spans="1:16" ht="27" x14ac:dyDescent="0.35">
      <c r="A22" s="15">
        <v>16</v>
      </c>
      <c r="B22" s="16" t="s">
        <v>68</v>
      </c>
      <c r="C22" s="19">
        <f t="shared" si="2"/>
        <v>14</v>
      </c>
      <c r="D22" s="19">
        <f t="shared" si="3"/>
        <v>12</v>
      </c>
      <c r="E22" s="19">
        <f t="shared" si="4"/>
        <v>2016</v>
      </c>
      <c r="F22" s="17">
        <v>42718</v>
      </c>
      <c r="G22" s="72" t="s">
        <v>69</v>
      </c>
      <c r="H22" s="72" t="s">
        <v>70</v>
      </c>
      <c r="I22" s="19">
        <v>14583</v>
      </c>
      <c r="J22" s="18" t="s">
        <v>24</v>
      </c>
      <c r="K22" s="20" t="s">
        <v>60</v>
      </c>
      <c r="L22" s="105">
        <v>4252600</v>
      </c>
      <c r="M22" s="88">
        <v>44544</v>
      </c>
      <c r="N22" s="20">
        <v>60</v>
      </c>
      <c r="O22" s="19">
        <f t="shared" si="0"/>
        <v>116</v>
      </c>
      <c r="P22" s="19" t="str">
        <f t="shared" si="1"/>
        <v>UMUR HABIS</v>
      </c>
    </row>
    <row r="23" spans="1:16" ht="27" x14ac:dyDescent="0.35">
      <c r="A23" s="15">
        <v>17</v>
      </c>
      <c r="B23" s="16" t="s">
        <v>68</v>
      </c>
      <c r="C23" s="19">
        <f t="shared" si="2"/>
        <v>14</v>
      </c>
      <c r="D23" s="19">
        <f t="shared" si="3"/>
        <v>12</v>
      </c>
      <c r="E23" s="19">
        <f t="shared" si="4"/>
        <v>2016</v>
      </c>
      <c r="F23" s="17">
        <v>42718</v>
      </c>
      <c r="G23" s="72" t="s">
        <v>71</v>
      </c>
      <c r="H23" s="72" t="s">
        <v>72</v>
      </c>
      <c r="I23" s="19">
        <v>14584</v>
      </c>
      <c r="J23" s="18" t="s">
        <v>24</v>
      </c>
      <c r="K23" s="20" t="s">
        <v>60</v>
      </c>
      <c r="L23" s="105">
        <v>4252600</v>
      </c>
      <c r="M23" s="88">
        <v>44544</v>
      </c>
      <c r="N23" s="20">
        <v>60</v>
      </c>
      <c r="O23" s="19">
        <f t="shared" si="0"/>
        <v>116</v>
      </c>
      <c r="P23" s="19" t="str">
        <f t="shared" si="1"/>
        <v>UMUR HABIS</v>
      </c>
    </row>
    <row r="24" spans="1:16" ht="27" x14ac:dyDescent="0.35">
      <c r="A24" s="15">
        <v>18</v>
      </c>
      <c r="B24" s="16" t="s">
        <v>73</v>
      </c>
      <c r="C24" s="19">
        <f t="shared" si="2"/>
        <v>15</v>
      </c>
      <c r="D24" s="19">
        <f t="shared" si="3"/>
        <v>12</v>
      </c>
      <c r="E24" s="19">
        <f t="shared" si="4"/>
        <v>2016</v>
      </c>
      <c r="F24" s="17">
        <v>42719</v>
      </c>
      <c r="G24" s="72" t="s">
        <v>74</v>
      </c>
      <c r="H24" s="72" t="s">
        <v>75</v>
      </c>
      <c r="I24" s="19">
        <v>14585</v>
      </c>
      <c r="J24" s="18" t="s">
        <v>24</v>
      </c>
      <c r="K24" s="20" t="s">
        <v>76</v>
      </c>
      <c r="L24" s="105">
        <v>5575900</v>
      </c>
      <c r="M24" s="88">
        <v>44545</v>
      </c>
      <c r="N24" s="20">
        <v>60</v>
      </c>
      <c r="O24" s="19">
        <f t="shared" si="0"/>
        <v>116</v>
      </c>
      <c r="P24" s="19" t="str">
        <f t="shared" si="1"/>
        <v>UMUR HABIS</v>
      </c>
    </row>
    <row r="25" spans="1:16" ht="27" x14ac:dyDescent="0.35">
      <c r="A25" s="15">
        <v>19</v>
      </c>
      <c r="B25" s="16" t="s">
        <v>77</v>
      </c>
      <c r="C25" s="19">
        <f t="shared" si="2"/>
        <v>19</v>
      </c>
      <c r="D25" s="19">
        <f t="shared" si="3"/>
        <v>12</v>
      </c>
      <c r="E25" s="19">
        <f t="shared" si="4"/>
        <v>2016</v>
      </c>
      <c r="F25" s="17">
        <v>42723</v>
      </c>
      <c r="G25" s="72" t="s">
        <v>78</v>
      </c>
      <c r="H25" s="72" t="s">
        <v>79</v>
      </c>
      <c r="I25" s="19">
        <v>14586</v>
      </c>
      <c r="J25" s="18" t="s">
        <v>24</v>
      </c>
      <c r="K25" s="20" t="s">
        <v>60</v>
      </c>
      <c r="L25" s="105">
        <v>3706648</v>
      </c>
      <c r="M25" s="88">
        <v>44549</v>
      </c>
      <c r="N25" s="20">
        <v>60</v>
      </c>
      <c r="O25" s="19">
        <f t="shared" si="0"/>
        <v>115</v>
      </c>
      <c r="P25" s="19" t="str">
        <f t="shared" si="1"/>
        <v>UMUR HABIS</v>
      </c>
    </row>
    <row r="26" spans="1:16" ht="27" x14ac:dyDescent="0.35">
      <c r="A26" s="15">
        <v>20</v>
      </c>
      <c r="B26" s="16" t="s">
        <v>80</v>
      </c>
      <c r="C26" s="19">
        <f t="shared" si="2"/>
        <v>31</v>
      </c>
      <c r="D26" s="19">
        <f t="shared" si="3"/>
        <v>3</v>
      </c>
      <c r="E26" s="19">
        <f t="shared" si="4"/>
        <v>2020</v>
      </c>
      <c r="F26" s="17">
        <v>43921</v>
      </c>
      <c r="G26" s="72" t="s">
        <v>81</v>
      </c>
      <c r="H26" s="72" t="s">
        <v>82</v>
      </c>
      <c r="I26" s="19">
        <v>14688</v>
      </c>
      <c r="J26" s="18" t="s">
        <v>24</v>
      </c>
      <c r="K26" s="20" t="s">
        <v>83</v>
      </c>
      <c r="L26" s="105">
        <v>9351100</v>
      </c>
      <c r="M26" s="88">
        <v>45747</v>
      </c>
      <c r="N26" s="20">
        <v>60</v>
      </c>
      <c r="O26" s="19">
        <f t="shared" si="0"/>
        <v>76</v>
      </c>
      <c r="P26" s="19" t="str">
        <f>IF(F26="","",IF(O26&gt;=N26,"UMUR HABIS",N26-O26))</f>
        <v>UMUR HABIS</v>
      </c>
    </row>
    <row r="27" spans="1:16" ht="27" x14ac:dyDescent="0.35">
      <c r="A27" s="15">
        <v>21</v>
      </c>
      <c r="B27" s="16" t="s">
        <v>80</v>
      </c>
      <c r="C27" s="19">
        <f t="shared" si="2"/>
        <v>31</v>
      </c>
      <c r="D27" s="19">
        <f t="shared" si="3"/>
        <v>3</v>
      </c>
      <c r="E27" s="19">
        <f t="shared" si="4"/>
        <v>2020</v>
      </c>
      <c r="F27" s="17">
        <v>43921</v>
      </c>
      <c r="G27" s="72" t="s">
        <v>84</v>
      </c>
      <c r="H27" s="72" t="s">
        <v>85</v>
      </c>
      <c r="I27" s="19">
        <v>14689</v>
      </c>
      <c r="J27" s="18" t="s">
        <v>24</v>
      </c>
      <c r="K27" s="20" t="s">
        <v>83</v>
      </c>
      <c r="L27" s="105">
        <v>9351100</v>
      </c>
      <c r="M27" s="88">
        <v>45747</v>
      </c>
      <c r="N27" s="20">
        <v>60</v>
      </c>
      <c r="O27" s="19">
        <f t="shared" si="0"/>
        <v>76</v>
      </c>
      <c r="P27" s="19" t="str">
        <f t="shared" si="1"/>
        <v>UMUR HABIS</v>
      </c>
    </row>
    <row r="28" spans="1:16" ht="27" x14ac:dyDescent="0.35">
      <c r="A28" s="15">
        <v>22</v>
      </c>
      <c r="B28" s="16" t="s">
        <v>86</v>
      </c>
      <c r="C28" s="19">
        <f t="shared" si="2"/>
        <v>24</v>
      </c>
      <c r="D28" s="19">
        <f t="shared" si="3"/>
        <v>10</v>
      </c>
      <c r="E28" s="19">
        <f t="shared" si="4"/>
        <v>2014</v>
      </c>
      <c r="F28" s="17">
        <v>41936</v>
      </c>
      <c r="G28" s="72" t="s">
        <v>87</v>
      </c>
      <c r="H28" s="72" t="s">
        <v>88</v>
      </c>
      <c r="I28" s="19">
        <v>14710</v>
      </c>
      <c r="J28" s="18" t="s">
        <v>24</v>
      </c>
      <c r="K28" s="20" t="s">
        <v>89</v>
      </c>
      <c r="L28" s="105">
        <v>4488000</v>
      </c>
      <c r="M28" s="88">
        <v>43762</v>
      </c>
      <c r="N28" s="20">
        <v>60</v>
      </c>
      <c r="O28" s="19">
        <f t="shared" si="0"/>
        <v>141</v>
      </c>
      <c r="P28" s="19" t="str">
        <f t="shared" si="1"/>
        <v>UMUR HABIS</v>
      </c>
    </row>
    <row r="29" spans="1:16" ht="27" x14ac:dyDescent="0.35">
      <c r="A29" s="15">
        <v>23</v>
      </c>
      <c r="B29" s="16" t="s">
        <v>21</v>
      </c>
      <c r="C29" s="19">
        <f t="shared" si="2"/>
        <v>25</v>
      </c>
      <c r="D29" s="19">
        <f t="shared" si="3"/>
        <v>8</v>
      </c>
      <c r="E29" s="19">
        <f t="shared" si="4"/>
        <v>2017</v>
      </c>
      <c r="F29" s="17">
        <v>42972</v>
      </c>
      <c r="G29" s="72" t="s">
        <v>90</v>
      </c>
      <c r="H29" s="72" t="s">
        <v>91</v>
      </c>
      <c r="I29" s="19">
        <v>14713</v>
      </c>
      <c r="J29" s="18" t="s">
        <v>24</v>
      </c>
      <c r="K29" s="20" t="s">
        <v>41</v>
      </c>
      <c r="L29" s="105">
        <v>3779100</v>
      </c>
      <c r="M29" s="88">
        <v>44798</v>
      </c>
      <c r="N29" s="20">
        <v>60</v>
      </c>
      <c r="O29" s="19">
        <f t="shared" si="0"/>
        <v>107</v>
      </c>
      <c r="P29" s="19" t="str">
        <f t="shared" si="1"/>
        <v>UMUR HABIS</v>
      </c>
    </row>
    <row r="30" spans="1:16" ht="27" x14ac:dyDescent="0.35">
      <c r="A30" s="15">
        <v>24</v>
      </c>
      <c r="B30" s="16" t="s">
        <v>21</v>
      </c>
      <c r="C30" s="19">
        <f t="shared" si="2"/>
        <v>25</v>
      </c>
      <c r="D30" s="19">
        <f t="shared" si="3"/>
        <v>8</v>
      </c>
      <c r="E30" s="19">
        <f t="shared" si="4"/>
        <v>2017</v>
      </c>
      <c r="F30" s="17">
        <v>42972</v>
      </c>
      <c r="G30" s="72" t="s">
        <v>92</v>
      </c>
      <c r="H30" s="72" t="s">
        <v>93</v>
      </c>
      <c r="I30" s="19">
        <v>14714</v>
      </c>
      <c r="J30" s="18" t="s">
        <v>24</v>
      </c>
      <c r="K30" s="20" t="s">
        <v>41</v>
      </c>
      <c r="L30" s="105">
        <v>3779100</v>
      </c>
      <c r="M30" s="88">
        <v>44798</v>
      </c>
      <c r="N30" s="20">
        <v>60</v>
      </c>
      <c r="O30" s="19">
        <f t="shared" si="0"/>
        <v>107</v>
      </c>
      <c r="P30" s="19" t="str">
        <f t="shared" si="1"/>
        <v>UMUR HABIS</v>
      </c>
    </row>
    <row r="31" spans="1:16" ht="27" x14ac:dyDescent="0.35">
      <c r="A31" s="15">
        <v>25</v>
      </c>
      <c r="B31" s="16" t="s">
        <v>21</v>
      </c>
      <c r="C31" s="19">
        <f t="shared" si="2"/>
        <v>25</v>
      </c>
      <c r="D31" s="19">
        <f t="shared" si="3"/>
        <v>8</v>
      </c>
      <c r="E31" s="19">
        <f t="shared" si="4"/>
        <v>2017</v>
      </c>
      <c r="F31" s="17">
        <v>42972</v>
      </c>
      <c r="G31" s="72" t="s">
        <v>94</v>
      </c>
      <c r="H31" s="72" t="s">
        <v>95</v>
      </c>
      <c r="I31" s="19">
        <v>14715</v>
      </c>
      <c r="J31" s="18" t="s">
        <v>24</v>
      </c>
      <c r="K31" s="20" t="s">
        <v>33</v>
      </c>
      <c r="L31" s="105">
        <v>3779100</v>
      </c>
      <c r="M31" s="88">
        <v>44798</v>
      </c>
      <c r="N31" s="20">
        <v>60</v>
      </c>
      <c r="O31" s="19">
        <f t="shared" si="0"/>
        <v>107</v>
      </c>
      <c r="P31" s="19" t="str">
        <f t="shared" si="1"/>
        <v>UMUR HABIS</v>
      </c>
    </row>
    <row r="32" spans="1:16" ht="27" x14ac:dyDescent="0.35">
      <c r="A32" s="15">
        <v>26</v>
      </c>
      <c r="B32" s="16" t="s">
        <v>21</v>
      </c>
      <c r="C32" s="19">
        <f t="shared" si="2"/>
        <v>25</v>
      </c>
      <c r="D32" s="19">
        <f t="shared" si="3"/>
        <v>8</v>
      </c>
      <c r="E32" s="19">
        <f t="shared" si="4"/>
        <v>2017</v>
      </c>
      <c r="F32" s="17">
        <v>42972</v>
      </c>
      <c r="G32" s="72" t="s">
        <v>96</v>
      </c>
      <c r="H32" s="72" t="s">
        <v>97</v>
      </c>
      <c r="I32" s="19">
        <v>14716</v>
      </c>
      <c r="J32" s="18" t="s">
        <v>24</v>
      </c>
      <c r="K32" s="20" t="s">
        <v>98</v>
      </c>
      <c r="L32" s="105">
        <v>3779100</v>
      </c>
      <c r="M32" s="88">
        <v>44798</v>
      </c>
      <c r="N32" s="20">
        <v>60</v>
      </c>
      <c r="O32" s="19">
        <f t="shared" si="0"/>
        <v>107</v>
      </c>
      <c r="P32" s="19" t="str">
        <f t="shared" si="1"/>
        <v>UMUR HABIS</v>
      </c>
    </row>
    <row r="33" spans="1:16" ht="27" x14ac:dyDescent="0.35">
      <c r="A33" s="15">
        <v>27</v>
      </c>
      <c r="B33" s="16" t="s">
        <v>99</v>
      </c>
      <c r="C33" s="19">
        <f t="shared" si="2"/>
        <v>29</v>
      </c>
      <c r="D33" s="19">
        <f t="shared" si="3"/>
        <v>11</v>
      </c>
      <c r="E33" s="19">
        <f t="shared" si="4"/>
        <v>2016</v>
      </c>
      <c r="F33" s="17">
        <v>42703</v>
      </c>
      <c r="G33" s="72" t="s">
        <v>100</v>
      </c>
      <c r="H33" s="72" t="s">
        <v>101</v>
      </c>
      <c r="I33" s="19">
        <v>14727</v>
      </c>
      <c r="J33" s="18" t="s">
        <v>24</v>
      </c>
      <c r="K33" s="20" t="s">
        <v>25</v>
      </c>
      <c r="L33" s="105">
        <v>3399000</v>
      </c>
      <c r="M33" s="88">
        <v>44529</v>
      </c>
      <c r="N33" s="20">
        <v>60</v>
      </c>
      <c r="O33" s="19">
        <f t="shared" si="0"/>
        <v>116</v>
      </c>
      <c r="P33" s="19" t="str">
        <f t="shared" si="1"/>
        <v>UMUR HABIS</v>
      </c>
    </row>
    <row r="34" spans="1:16" ht="27" x14ac:dyDescent="0.35">
      <c r="A34" s="15">
        <v>28</v>
      </c>
      <c r="B34" s="16" t="s">
        <v>99</v>
      </c>
      <c r="C34" s="19">
        <f t="shared" si="2"/>
        <v>29</v>
      </c>
      <c r="D34" s="19">
        <f t="shared" si="3"/>
        <v>11</v>
      </c>
      <c r="E34" s="19">
        <f t="shared" si="4"/>
        <v>2016</v>
      </c>
      <c r="F34" s="17">
        <v>42703</v>
      </c>
      <c r="G34" s="72" t="s">
        <v>102</v>
      </c>
      <c r="H34" s="72" t="s">
        <v>103</v>
      </c>
      <c r="I34" s="19">
        <v>14728</v>
      </c>
      <c r="J34" s="18" t="s">
        <v>24</v>
      </c>
      <c r="K34" s="20" t="s">
        <v>38</v>
      </c>
      <c r="L34" s="105">
        <v>3399000</v>
      </c>
      <c r="M34" s="88">
        <v>44529</v>
      </c>
      <c r="N34" s="20">
        <v>60</v>
      </c>
      <c r="O34" s="19">
        <f t="shared" si="0"/>
        <v>116</v>
      </c>
      <c r="P34" s="19" t="str">
        <f t="shared" si="1"/>
        <v>UMUR HABIS</v>
      </c>
    </row>
    <row r="35" spans="1:16" ht="27" x14ac:dyDescent="0.35">
      <c r="A35" s="15">
        <v>29</v>
      </c>
      <c r="B35" s="16" t="s">
        <v>99</v>
      </c>
      <c r="C35" s="19">
        <f t="shared" si="2"/>
        <v>29</v>
      </c>
      <c r="D35" s="19">
        <f t="shared" si="3"/>
        <v>11</v>
      </c>
      <c r="E35" s="19">
        <f t="shared" si="4"/>
        <v>2016</v>
      </c>
      <c r="F35" s="17">
        <v>42703</v>
      </c>
      <c r="G35" s="72" t="s">
        <v>104</v>
      </c>
      <c r="H35" s="72" t="s">
        <v>105</v>
      </c>
      <c r="I35" s="19">
        <v>14729</v>
      </c>
      <c r="J35" s="18" t="s">
        <v>24</v>
      </c>
      <c r="K35" s="20" t="s">
        <v>48</v>
      </c>
      <c r="L35" s="105">
        <v>3399000</v>
      </c>
      <c r="M35" s="88">
        <v>44529</v>
      </c>
      <c r="N35" s="20">
        <v>60</v>
      </c>
      <c r="O35" s="19">
        <f t="shared" si="0"/>
        <v>116</v>
      </c>
      <c r="P35" s="19" t="str">
        <f t="shared" si="1"/>
        <v>UMUR HABIS</v>
      </c>
    </row>
    <row r="36" spans="1:16" ht="27" x14ac:dyDescent="0.35">
      <c r="A36" s="15">
        <v>30</v>
      </c>
      <c r="B36" s="16" t="s">
        <v>99</v>
      </c>
      <c r="C36" s="19">
        <f t="shared" si="2"/>
        <v>29</v>
      </c>
      <c r="D36" s="19">
        <f t="shared" si="3"/>
        <v>11</v>
      </c>
      <c r="E36" s="19">
        <f t="shared" si="4"/>
        <v>2016</v>
      </c>
      <c r="F36" s="17">
        <v>42703</v>
      </c>
      <c r="G36" s="72" t="s">
        <v>106</v>
      </c>
      <c r="H36" s="72" t="s">
        <v>107</v>
      </c>
      <c r="I36" s="19">
        <v>14730</v>
      </c>
      <c r="J36" s="18" t="s">
        <v>24</v>
      </c>
      <c r="K36" s="20" t="s">
        <v>38</v>
      </c>
      <c r="L36" s="105">
        <v>3399000</v>
      </c>
      <c r="M36" s="88">
        <v>44529</v>
      </c>
      <c r="N36" s="20">
        <v>60</v>
      </c>
      <c r="O36" s="19">
        <f t="shared" si="0"/>
        <v>116</v>
      </c>
      <c r="P36" s="19" t="str">
        <f t="shared" si="1"/>
        <v>UMUR HABIS</v>
      </c>
    </row>
    <row r="37" spans="1:16" ht="27" x14ac:dyDescent="0.35">
      <c r="A37" s="15">
        <v>31</v>
      </c>
      <c r="B37" s="16" t="s">
        <v>99</v>
      </c>
      <c r="C37" s="19">
        <f t="shared" si="2"/>
        <v>29</v>
      </c>
      <c r="D37" s="19">
        <f t="shared" si="3"/>
        <v>11</v>
      </c>
      <c r="E37" s="19">
        <f t="shared" si="4"/>
        <v>2016</v>
      </c>
      <c r="F37" s="17">
        <v>42703</v>
      </c>
      <c r="G37" s="72" t="s">
        <v>108</v>
      </c>
      <c r="H37" s="72" t="s">
        <v>109</v>
      </c>
      <c r="I37" s="19">
        <v>14731</v>
      </c>
      <c r="J37" s="18" t="s">
        <v>24</v>
      </c>
      <c r="K37" s="20" t="s">
        <v>89</v>
      </c>
      <c r="L37" s="105">
        <v>3399000</v>
      </c>
      <c r="M37" s="88">
        <v>44529</v>
      </c>
      <c r="N37" s="20">
        <v>60</v>
      </c>
      <c r="O37" s="19">
        <f t="shared" si="0"/>
        <v>116</v>
      </c>
      <c r="P37" s="19" t="str">
        <f t="shared" si="1"/>
        <v>UMUR HABIS</v>
      </c>
    </row>
    <row r="38" spans="1:16" ht="27" x14ac:dyDescent="0.35">
      <c r="A38" s="15">
        <v>32</v>
      </c>
      <c r="B38" s="16" t="s">
        <v>110</v>
      </c>
      <c r="C38" s="19">
        <f t="shared" si="2"/>
        <v>31</v>
      </c>
      <c r="D38" s="19">
        <f t="shared" si="3"/>
        <v>10</v>
      </c>
      <c r="E38" s="19">
        <f t="shared" si="4"/>
        <v>2013</v>
      </c>
      <c r="F38" s="17">
        <v>41578</v>
      </c>
      <c r="G38" s="72" t="s">
        <v>111</v>
      </c>
      <c r="H38" s="72" t="s">
        <v>112</v>
      </c>
      <c r="I38" s="19">
        <v>14733</v>
      </c>
      <c r="J38" s="18" t="s">
        <v>113</v>
      </c>
      <c r="K38" s="20" t="s">
        <v>114</v>
      </c>
      <c r="L38" s="105">
        <v>0</v>
      </c>
      <c r="M38" s="88">
        <v>43404</v>
      </c>
      <c r="N38" s="20">
        <v>60</v>
      </c>
      <c r="O38" s="19">
        <f t="shared" si="0"/>
        <v>153</v>
      </c>
      <c r="P38" s="19" t="str">
        <f t="shared" si="1"/>
        <v>UMUR HABIS</v>
      </c>
    </row>
    <row r="39" spans="1:16" ht="27" x14ac:dyDescent="0.35">
      <c r="A39" s="15">
        <v>33</v>
      </c>
      <c r="B39" s="16" t="s">
        <v>115</v>
      </c>
      <c r="C39" s="19">
        <f t="shared" si="2"/>
        <v>24</v>
      </c>
      <c r="D39" s="19">
        <f t="shared" si="3"/>
        <v>10</v>
      </c>
      <c r="E39" s="19">
        <f t="shared" si="4"/>
        <v>2014</v>
      </c>
      <c r="F39" s="17">
        <v>41936</v>
      </c>
      <c r="G39" s="72" t="s">
        <v>116</v>
      </c>
      <c r="H39" s="72" t="s">
        <v>117</v>
      </c>
      <c r="I39" s="19">
        <v>14734</v>
      </c>
      <c r="J39" s="18" t="s">
        <v>24</v>
      </c>
      <c r="K39" s="20" t="s">
        <v>52</v>
      </c>
      <c r="L39" s="105">
        <v>3489750</v>
      </c>
      <c r="M39" s="88">
        <v>43762</v>
      </c>
      <c r="N39" s="20">
        <v>60</v>
      </c>
      <c r="O39" s="19">
        <f t="shared" ref="O39:O70" si="5">IF(F39="","",ROUND((($O$4-F39)*12/365),0))</f>
        <v>141</v>
      </c>
      <c r="P39" s="19" t="str">
        <f t="shared" ref="P39:P70" si="6">IF(F39="","",IF(O39&gt;=N39,"UMUR HABIS",N39-O39))</f>
        <v>UMUR HABIS</v>
      </c>
    </row>
    <row r="40" spans="1:16" ht="27" x14ac:dyDescent="0.35">
      <c r="A40" s="15">
        <v>34</v>
      </c>
      <c r="B40" s="16" t="s">
        <v>118</v>
      </c>
      <c r="C40" s="19">
        <f t="shared" si="2"/>
        <v>26</v>
      </c>
      <c r="D40" s="19">
        <f t="shared" si="3"/>
        <v>10</v>
      </c>
      <c r="E40" s="19">
        <f t="shared" si="4"/>
        <v>2005</v>
      </c>
      <c r="F40" s="17">
        <v>38651</v>
      </c>
      <c r="G40" s="72" t="s">
        <v>119</v>
      </c>
      <c r="H40" s="72" t="s">
        <v>120</v>
      </c>
      <c r="I40" s="19">
        <v>14735</v>
      </c>
      <c r="J40" s="18" t="s">
        <v>24</v>
      </c>
      <c r="K40" s="20" t="s">
        <v>38</v>
      </c>
      <c r="L40" s="105">
        <v>850000</v>
      </c>
      <c r="M40" s="88">
        <v>40477</v>
      </c>
      <c r="N40" s="20">
        <v>60</v>
      </c>
      <c r="O40" s="19">
        <f t="shared" si="5"/>
        <v>249</v>
      </c>
      <c r="P40" s="19" t="str">
        <f t="shared" si="6"/>
        <v>UMUR HABIS</v>
      </c>
    </row>
    <row r="41" spans="1:16" ht="27" x14ac:dyDescent="0.35">
      <c r="A41" s="15">
        <v>35</v>
      </c>
      <c r="B41" s="16" t="s">
        <v>121</v>
      </c>
      <c r="C41" s="19">
        <f t="shared" si="2"/>
        <v>24</v>
      </c>
      <c r="D41" s="19">
        <f t="shared" si="3"/>
        <v>10</v>
      </c>
      <c r="E41" s="19">
        <f t="shared" si="4"/>
        <v>2014</v>
      </c>
      <c r="F41" s="17">
        <v>41936</v>
      </c>
      <c r="G41" s="72" t="s">
        <v>122</v>
      </c>
      <c r="H41" s="72" t="s">
        <v>123</v>
      </c>
      <c r="I41" s="19">
        <v>14736</v>
      </c>
      <c r="J41" s="18" t="s">
        <v>24</v>
      </c>
      <c r="K41" s="20" t="s">
        <v>52</v>
      </c>
      <c r="L41" s="105">
        <v>16456000</v>
      </c>
      <c r="M41" s="88">
        <v>43762</v>
      </c>
      <c r="N41" s="20">
        <v>60</v>
      </c>
      <c r="O41" s="19">
        <f t="shared" si="5"/>
        <v>141</v>
      </c>
      <c r="P41" s="19" t="str">
        <f t="shared" si="6"/>
        <v>UMUR HABIS</v>
      </c>
    </row>
    <row r="42" spans="1:16" ht="27" x14ac:dyDescent="0.35">
      <c r="A42" s="15">
        <v>36</v>
      </c>
      <c r="B42" s="16" t="s">
        <v>124</v>
      </c>
      <c r="C42" s="19">
        <f t="shared" si="2"/>
        <v>29</v>
      </c>
      <c r="D42" s="19">
        <f t="shared" si="3"/>
        <v>6</v>
      </c>
      <c r="E42" s="19">
        <f t="shared" si="4"/>
        <v>2012</v>
      </c>
      <c r="F42" s="17">
        <v>41089</v>
      </c>
      <c r="G42" s="72" t="s">
        <v>125</v>
      </c>
      <c r="H42" s="72" t="s">
        <v>126</v>
      </c>
      <c r="I42" s="19">
        <v>14745</v>
      </c>
      <c r="J42" s="18" t="s">
        <v>24</v>
      </c>
      <c r="K42" s="20" t="s">
        <v>127</v>
      </c>
      <c r="L42" s="105">
        <v>6875000</v>
      </c>
      <c r="M42" s="88">
        <v>42915</v>
      </c>
      <c r="N42" s="20">
        <v>60</v>
      </c>
      <c r="O42" s="19">
        <f t="shared" si="5"/>
        <v>169</v>
      </c>
      <c r="P42" s="19" t="str">
        <f t="shared" si="6"/>
        <v>UMUR HABIS</v>
      </c>
    </row>
    <row r="43" spans="1:16" ht="27" x14ac:dyDescent="0.35">
      <c r="A43" s="15">
        <v>37</v>
      </c>
      <c r="B43" s="16" t="s">
        <v>128</v>
      </c>
      <c r="C43" s="19">
        <f t="shared" si="2"/>
        <v>8</v>
      </c>
      <c r="D43" s="19">
        <f t="shared" si="3"/>
        <v>3</v>
      </c>
      <c r="E43" s="19">
        <f t="shared" si="4"/>
        <v>2018</v>
      </c>
      <c r="F43" s="17">
        <v>43167</v>
      </c>
      <c r="G43" s="72" t="s">
        <v>129</v>
      </c>
      <c r="H43" s="72" t="s">
        <v>130</v>
      </c>
      <c r="I43" s="19">
        <v>14748</v>
      </c>
      <c r="J43" s="18" t="s">
        <v>24</v>
      </c>
      <c r="K43" s="20" t="s">
        <v>48</v>
      </c>
      <c r="L43" s="105">
        <v>6499000</v>
      </c>
      <c r="M43" s="88">
        <v>44993</v>
      </c>
      <c r="N43" s="20">
        <v>60</v>
      </c>
      <c r="O43" s="19">
        <f t="shared" si="5"/>
        <v>101</v>
      </c>
      <c r="P43" s="19" t="str">
        <f t="shared" si="6"/>
        <v>UMUR HABIS</v>
      </c>
    </row>
    <row r="44" spans="1:16" ht="27" x14ac:dyDescent="0.35">
      <c r="A44" s="15">
        <v>38</v>
      </c>
      <c r="B44" s="16" t="s">
        <v>131</v>
      </c>
      <c r="C44" s="19">
        <f t="shared" si="2"/>
        <v>8</v>
      </c>
      <c r="D44" s="19">
        <f t="shared" si="3"/>
        <v>3</v>
      </c>
      <c r="E44" s="19">
        <f t="shared" si="4"/>
        <v>2018</v>
      </c>
      <c r="F44" s="17">
        <v>43167</v>
      </c>
      <c r="G44" s="72" t="s">
        <v>132</v>
      </c>
      <c r="H44" s="72" t="s">
        <v>133</v>
      </c>
      <c r="I44" s="19">
        <v>14749</v>
      </c>
      <c r="J44" s="18" t="s">
        <v>24</v>
      </c>
      <c r="K44" s="20" t="s">
        <v>48</v>
      </c>
      <c r="L44" s="105">
        <v>6999000</v>
      </c>
      <c r="M44" s="88">
        <v>44993</v>
      </c>
      <c r="N44" s="20">
        <v>60</v>
      </c>
      <c r="O44" s="19">
        <f t="shared" si="5"/>
        <v>101</v>
      </c>
      <c r="P44" s="19" t="str">
        <f t="shared" si="6"/>
        <v>UMUR HABIS</v>
      </c>
    </row>
    <row r="45" spans="1:16" ht="27" x14ac:dyDescent="0.35">
      <c r="A45" s="15">
        <v>39</v>
      </c>
      <c r="B45" s="16" t="s">
        <v>134</v>
      </c>
      <c r="C45" s="19">
        <f t="shared" si="2"/>
        <v>31</v>
      </c>
      <c r="D45" s="19">
        <f t="shared" si="3"/>
        <v>3</v>
      </c>
      <c r="E45" s="19">
        <f t="shared" si="4"/>
        <v>2021</v>
      </c>
      <c r="F45" s="17">
        <v>44286</v>
      </c>
      <c r="G45" s="72" t="s">
        <v>135</v>
      </c>
      <c r="H45" s="72" t="s">
        <v>136</v>
      </c>
      <c r="I45" s="19">
        <v>14751</v>
      </c>
      <c r="J45" s="18" t="s">
        <v>24</v>
      </c>
      <c r="K45" s="20" t="s">
        <v>60</v>
      </c>
      <c r="L45" s="105">
        <v>3520000</v>
      </c>
      <c r="M45" s="88">
        <v>46112</v>
      </c>
      <c r="N45" s="20">
        <v>60</v>
      </c>
      <c r="O45" s="19">
        <f t="shared" si="5"/>
        <v>64</v>
      </c>
      <c r="P45" s="19" t="str">
        <f t="shared" si="6"/>
        <v>UMUR HABIS</v>
      </c>
    </row>
    <row r="46" spans="1:16" ht="27" x14ac:dyDescent="0.35">
      <c r="A46" s="15">
        <v>40</v>
      </c>
      <c r="B46" s="16" t="s">
        <v>134</v>
      </c>
      <c r="C46" s="19">
        <f t="shared" si="2"/>
        <v>31</v>
      </c>
      <c r="D46" s="19">
        <f t="shared" si="3"/>
        <v>3</v>
      </c>
      <c r="E46" s="19">
        <f t="shared" si="4"/>
        <v>2021</v>
      </c>
      <c r="F46" s="17">
        <v>44286</v>
      </c>
      <c r="G46" s="72" t="s">
        <v>137</v>
      </c>
      <c r="H46" s="72" t="s">
        <v>138</v>
      </c>
      <c r="I46" s="19">
        <v>14752</v>
      </c>
      <c r="J46" s="18" t="s">
        <v>24</v>
      </c>
      <c r="K46" s="20" t="s">
        <v>60</v>
      </c>
      <c r="L46" s="105">
        <v>3520000</v>
      </c>
      <c r="M46" s="88">
        <v>46112</v>
      </c>
      <c r="N46" s="20">
        <v>60</v>
      </c>
      <c r="O46" s="19">
        <f t="shared" si="5"/>
        <v>64</v>
      </c>
      <c r="P46" s="19" t="str">
        <f t="shared" si="6"/>
        <v>UMUR HABIS</v>
      </c>
    </row>
    <row r="47" spans="1:16" ht="27" x14ac:dyDescent="0.35">
      <c r="A47" s="15">
        <v>41</v>
      </c>
      <c r="B47" s="16" t="s">
        <v>139</v>
      </c>
      <c r="C47" s="19">
        <f t="shared" si="2"/>
        <v>27</v>
      </c>
      <c r="D47" s="19">
        <f t="shared" si="3"/>
        <v>10</v>
      </c>
      <c r="E47" s="19">
        <f t="shared" si="4"/>
        <v>2021</v>
      </c>
      <c r="F47" s="17">
        <v>44496</v>
      </c>
      <c r="G47" s="72" t="s">
        <v>140</v>
      </c>
      <c r="H47" s="72" t="s">
        <v>141</v>
      </c>
      <c r="I47" s="19">
        <v>14757</v>
      </c>
      <c r="J47" s="18" t="s">
        <v>24</v>
      </c>
      <c r="K47" s="20" t="s">
        <v>98</v>
      </c>
      <c r="L47" s="105">
        <v>6097000</v>
      </c>
      <c r="M47" s="88">
        <v>46322</v>
      </c>
      <c r="N47" s="20">
        <v>60</v>
      </c>
      <c r="O47" s="19">
        <f t="shared" si="5"/>
        <v>57</v>
      </c>
      <c r="P47" s="19">
        <f t="shared" si="6"/>
        <v>3</v>
      </c>
    </row>
    <row r="48" spans="1:16" ht="27" x14ac:dyDescent="0.35">
      <c r="A48" s="15">
        <v>42</v>
      </c>
      <c r="B48" s="16" t="s">
        <v>142</v>
      </c>
      <c r="C48" s="19">
        <f t="shared" si="2"/>
        <v>27</v>
      </c>
      <c r="D48" s="19">
        <f t="shared" si="3"/>
        <v>10</v>
      </c>
      <c r="E48" s="19">
        <f t="shared" si="4"/>
        <v>2021</v>
      </c>
      <c r="F48" s="17">
        <v>44496</v>
      </c>
      <c r="G48" s="72" t="s">
        <v>143</v>
      </c>
      <c r="H48" s="72" t="s">
        <v>144</v>
      </c>
      <c r="I48" s="19">
        <v>14758</v>
      </c>
      <c r="J48" s="18" t="s">
        <v>24</v>
      </c>
      <c r="K48" s="20" t="s">
        <v>145</v>
      </c>
      <c r="L48" s="105">
        <v>4899000</v>
      </c>
      <c r="M48" s="88">
        <v>46322</v>
      </c>
      <c r="N48" s="20">
        <v>60</v>
      </c>
      <c r="O48" s="19">
        <f t="shared" si="5"/>
        <v>57</v>
      </c>
      <c r="P48" s="19">
        <f t="shared" si="6"/>
        <v>3</v>
      </c>
    </row>
    <row r="49" spans="1:16" ht="27" x14ac:dyDescent="0.35">
      <c r="A49" s="15">
        <v>43</v>
      </c>
      <c r="B49" s="16" t="s">
        <v>139</v>
      </c>
      <c r="C49" s="19">
        <f t="shared" si="2"/>
        <v>27</v>
      </c>
      <c r="D49" s="19">
        <f t="shared" si="3"/>
        <v>10</v>
      </c>
      <c r="E49" s="19">
        <f t="shared" si="4"/>
        <v>2021</v>
      </c>
      <c r="F49" s="17">
        <v>44496</v>
      </c>
      <c r="G49" s="72" t="s">
        <v>146</v>
      </c>
      <c r="H49" s="72" t="s">
        <v>147</v>
      </c>
      <c r="I49" s="19">
        <v>14759</v>
      </c>
      <c r="J49" s="18" t="s">
        <v>24</v>
      </c>
      <c r="K49" s="20" t="s">
        <v>98</v>
      </c>
      <c r="L49" s="105">
        <v>6097000</v>
      </c>
      <c r="M49" s="88">
        <v>46322</v>
      </c>
      <c r="N49" s="20">
        <v>60</v>
      </c>
      <c r="O49" s="19">
        <f t="shared" si="5"/>
        <v>57</v>
      </c>
      <c r="P49" s="19">
        <f t="shared" si="6"/>
        <v>3</v>
      </c>
    </row>
    <row r="50" spans="1:16" ht="27" x14ac:dyDescent="0.35">
      <c r="A50" s="15">
        <v>44</v>
      </c>
      <c r="B50" s="16" t="s">
        <v>148</v>
      </c>
      <c r="C50" s="19">
        <f t="shared" si="2"/>
        <v>27</v>
      </c>
      <c r="D50" s="19">
        <f t="shared" si="3"/>
        <v>10</v>
      </c>
      <c r="E50" s="19">
        <f t="shared" si="4"/>
        <v>2021</v>
      </c>
      <c r="F50" s="17">
        <v>44496</v>
      </c>
      <c r="G50" s="72" t="s">
        <v>149</v>
      </c>
      <c r="H50" s="72" t="s">
        <v>150</v>
      </c>
      <c r="I50" s="19">
        <v>14760</v>
      </c>
      <c r="J50" s="18" t="s">
        <v>24</v>
      </c>
      <c r="K50" s="20" t="s">
        <v>151</v>
      </c>
      <c r="L50" s="105">
        <v>4599000</v>
      </c>
      <c r="M50" s="88">
        <v>46322</v>
      </c>
      <c r="N50" s="20">
        <v>60</v>
      </c>
      <c r="O50" s="19">
        <f t="shared" si="5"/>
        <v>57</v>
      </c>
      <c r="P50" s="19">
        <f t="shared" si="6"/>
        <v>3</v>
      </c>
    </row>
    <row r="51" spans="1:16" ht="27" x14ac:dyDescent="0.35">
      <c r="A51" s="15">
        <v>45</v>
      </c>
      <c r="B51" s="16" t="s">
        <v>152</v>
      </c>
      <c r="C51" s="19">
        <f t="shared" si="2"/>
        <v>27</v>
      </c>
      <c r="D51" s="19">
        <f t="shared" si="3"/>
        <v>10</v>
      </c>
      <c r="E51" s="19">
        <f t="shared" si="4"/>
        <v>2021</v>
      </c>
      <c r="F51" s="17">
        <v>44496</v>
      </c>
      <c r="G51" s="72" t="s">
        <v>153</v>
      </c>
      <c r="H51" s="72" t="s">
        <v>154</v>
      </c>
      <c r="I51" s="19">
        <v>14761</v>
      </c>
      <c r="J51" s="18" t="s">
        <v>24</v>
      </c>
      <c r="K51" s="20" t="s">
        <v>56</v>
      </c>
      <c r="L51" s="105">
        <v>4299000</v>
      </c>
      <c r="M51" s="88">
        <v>46322</v>
      </c>
      <c r="N51" s="20">
        <v>60</v>
      </c>
      <c r="O51" s="19">
        <f t="shared" si="5"/>
        <v>57</v>
      </c>
      <c r="P51" s="19">
        <f t="shared" si="6"/>
        <v>3</v>
      </c>
    </row>
    <row r="52" spans="1:16" ht="27" x14ac:dyDescent="0.35">
      <c r="A52" s="15">
        <v>46</v>
      </c>
      <c r="B52" s="16" t="s">
        <v>152</v>
      </c>
      <c r="C52" s="19">
        <f t="shared" si="2"/>
        <v>27</v>
      </c>
      <c r="D52" s="19">
        <f t="shared" si="3"/>
        <v>10</v>
      </c>
      <c r="E52" s="19">
        <f t="shared" si="4"/>
        <v>2021</v>
      </c>
      <c r="F52" s="17">
        <v>44496</v>
      </c>
      <c r="G52" s="72" t="s">
        <v>155</v>
      </c>
      <c r="H52" s="72" t="s">
        <v>156</v>
      </c>
      <c r="I52" s="19">
        <v>14762</v>
      </c>
      <c r="J52" s="18" t="s">
        <v>24</v>
      </c>
      <c r="K52" s="20" t="s">
        <v>157</v>
      </c>
      <c r="L52" s="105">
        <v>4299000</v>
      </c>
      <c r="M52" s="88">
        <v>46322</v>
      </c>
      <c r="N52" s="20">
        <v>60</v>
      </c>
      <c r="O52" s="19">
        <f t="shared" si="5"/>
        <v>57</v>
      </c>
      <c r="P52" s="19">
        <f t="shared" si="6"/>
        <v>3</v>
      </c>
    </row>
    <row r="53" spans="1:16" ht="27" x14ac:dyDescent="0.35">
      <c r="A53" s="15">
        <v>47</v>
      </c>
      <c r="B53" s="16" t="s">
        <v>158</v>
      </c>
      <c r="C53" s="19">
        <f t="shared" si="2"/>
        <v>23</v>
      </c>
      <c r="D53" s="19">
        <f t="shared" si="3"/>
        <v>11</v>
      </c>
      <c r="E53" s="19">
        <f t="shared" si="4"/>
        <v>2021</v>
      </c>
      <c r="F53" s="17">
        <v>44523</v>
      </c>
      <c r="G53" s="72" t="s">
        <v>159</v>
      </c>
      <c r="H53" s="72" t="s">
        <v>160</v>
      </c>
      <c r="I53" s="19">
        <v>14763</v>
      </c>
      <c r="J53" s="18" t="s">
        <v>24</v>
      </c>
      <c r="K53" s="20" t="s">
        <v>161</v>
      </c>
      <c r="L53" s="105">
        <v>6097000</v>
      </c>
      <c r="M53" s="88">
        <v>46349</v>
      </c>
      <c r="N53" s="20">
        <v>60</v>
      </c>
      <c r="O53" s="19">
        <f t="shared" si="5"/>
        <v>56</v>
      </c>
      <c r="P53" s="19">
        <f t="shared" si="6"/>
        <v>4</v>
      </c>
    </row>
    <row r="54" spans="1:16" ht="27" x14ac:dyDescent="0.35">
      <c r="A54" s="15">
        <v>48</v>
      </c>
      <c r="B54" s="16" t="s">
        <v>158</v>
      </c>
      <c r="C54" s="19">
        <f t="shared" si="2"/>
        <v>23</v>
      </c>
      <c r="D54" s="19">
        <f t="shared" si="3"/>
        <v>11</v>
      </c>
      <c r="E54" s="19">
        <f t="shared" si="4"/>
        <v>2021</v>
      </c>
      <c r="F54" s="17">
        <v>44523</v>
      </c>
      <c r="G54" s="72" t="s">
        <v>162</v>
      </c>
      <c r="H54" s="72" t="s">
        <v>163</v>
      </c>
      <c r="I54" s="19">
        <v>14764</v>
      </c>
      <c r="J54" s="18" t="s">
        <v>24</v>
      </c>
      <c r="K54" s="20" t="s">
        <v>161</v>
      </c>
      <c r="L54" s="105">
        <v>6097000</v>
      </c>
      <c r="M54" s="88">
        <v>46349</v>
      </c>
      <c r="N54" s="20">
        <v>60</v>
      </c>
      <c r="O54" s="19">
        <f t="shared" si="5"/>
        <v>56</v>
      </c>
      <c r="P54" s="19">
        <f t="shared" si="6"/>
        <v>4</v>
      </c>
    </row>
    <row r="55" spans="1:16" ht="27" x14ac:dyDescent="0.35">
      <c r="A55" s="15">
        <v>49</v>
      </c>
      <c r="B55" s="16" t="s">
        <v>164</v>
      </c>
      <c r="C55" s="19">
        <f t="shared" si="2"/>
        <v>23</v>
      </c>
      <c r="D55" s="19">
        <f t="shared" si="3"/>
        <v>11</v>
      </c>
      <c r="E55" s="19">
        <f t="shared" si="4"/>
        <v>2021</v>
      </c>
      <c r="F55" s="17">
        <v>44523</v>
      </c>
      <c r="G55" s="72" t="s">
        <v>165</v>
      </c>
      <c r="H55" s="72" t="s">
        <v>166</v>
      </c>
      <c r="I55" s="19">
        <v>14765</v>
      </c>
      <c r="J55" s="18" t="s">
        <v>24</v>
      </c>
      <c r="K55" s="20" t="s">
        <v>167</v>
      </c>
      <c r="L55" s="105">
        <v>4599000</v>
      </c>
      <c r="M55" s="88">
        <v>46349</v>
      </c>
      <c r="N55" s="20">
        <v>60</v>
      </c>
      <c r="O55" s="19">
        <f t="shared" si="5"/>
        <v>56</v>
      </c>
      <c r="P55" s="19">
        <f t="shared" si="6"/>
        <v>4</v>
      </c>
    </row>
    <row r="56" spans="1:16" ht="27" x14ac:dyDescent="0.35">
      <c r="A56" s="15">
        <v>50</v>
      </c>
      <c r="B56" s="16" t="s">
        <v>168</v>
      </c>
      <c r="C56" s="19">
        <f t="shared" si="2"/>
        <v>23</v>
      </c>
      <c r="D56" s="19">
        <f t="shared" si="3"/>
        <v>11</v>
      </c>
      <c r="E56" s="19">
        <f t="shared" si="4"/>
        <v>2021</v>
      </c>
      <c r="F56" s="17">
        <v>44523</v>
      </c>
      <c r="G56" s="72" t="s">
        <v>169</v>
      </c>
      <c r="H56" s="72" t="s">
        <v>170</v>
      </c>
      <c r="I56" s="19">
        <v>14766</v>
      </c>
      <c r="J56" s="18" t="s">
        <v>24</v>
      </c>
      <c r="K56" s="20" t="s">
        <v>151</v>
      </c>
      <c r="L56" s="105">
        <v>4899000</v>
      </c>
      <c r="M56" s="88">
        <v>46349</v>
      </c>
      <c r="N56" s="20">
        <v>60</v>
      </c>
      <c r="O56" s="19">
        <f t="shared" si="5"/>
        <v>56</v>
      </c>
      <c r="P56" s="19">
        <f t="shared" si="6"/>
        <v>4</v>
      </c>
    </row>
    <row r="57" spans="1:16" ht="27" x14ac:dyDescent="0.35">
      <c r="A57" s="15">
        <v>51</v>
      </c>
      <c r="B57" s="16" t="s">
        <v>171</v>
      </c>
      <c r="C57" s="19">
        <f t="shared" si="2"/>
        <v>30</v>
      </c>
      <c r="D57" s="19">
        <f t="shared" si="3"/>
        <v>11</v>
      </c>
      <c r="E57" s="19">
        <f t="shared" si="4"/>
        <v>2021</v>
      </c>
      <c r="F57" s="17">
        <v>44530</v>
      </c>
      <c r="G57" s="72" t="s">
        <v>172</v>
      </c>
      <c r="H57" s="72" t="s">
        <v>173</v>
      </c>
      <c r="I57" s="19">
        <v>14767</v>
      </c>
      <c r="J57" s="18" t="s">
        <v>24</v>
      </c>
      <c r="K57" s="20" t="s">
        <v>174</v>
      </c>
      <c r="L57" s="105">
        <v>4899000</v>
      </c>
      <c r="M57" s="88">
        <v>46356</v>
      </c>
      <c r="N57" s="20">
        <v>60</v>
      </c>
      <c r="O57" s="19">
        <f t="shared" si="5"/>
        <v>56</v>
      </c>
      <c r="P57" s="19">
        <f t="shared" si="6"/>
        <v>4</v>
      </c>
    </row>
    <row r="58" spans="1:16" ht="27" x14ac:dyDescent="0.35">
      <c r="A58" s="15">
        <v>52</v>
      </c>
      <c r="B58" s="16" t="s">
        <v>175</v>
      </c>
      <c r="C58" s="19">
        <f t="shared" si="2"/>
        <v>30</v>
      </c>
      <c r="D58" s="19">
        <f t="shared" si="3"/>
        <v>11</v>
      </c>
      <c r="E58" s="19">
        <f t="shared" si="4"/>
        <v>2021</v>
      </c>
      <c r="F58" s="17">
        <v>44530</v>
      </c>
      <c r="G58" s="72" t="s">
        <v>176</v>
      </c>
      <c r="H58" s="72" t="s">
        <v>177</v>
      </c>
      <c r="I58" s="19">
        <v>14768</v>
      </c>
      <c r="J58" s="18" t="s">
        <v>24</v>
      </c>
      <c r="K58" s="20" t="s">
        <v>178</v>
      </c>
      <c r="L58" s="105">
        <v>6097000</v>
      </c>
      <c r="M58" s="88">
        <v>46356</v>
      </c>
      <c r="N58" s="20">
        <v>60</v>
      </c>
      <c r="O58" s="19">
        <f t="shared" si="5"/>
        <v>56</v>
      </c>
      <c r="P58" s="19">
        <f t="shared" si="6"/>
        <v>4</v>
      </c>
    </row>
    <row r="59" spans="1:16" ht="27" x14ac:dyDescent="0.35">
      <c r="A59" s="15">
        <v>53</v>
      </c>
      <c r="B59" s="16" t="s">
        <v>175</v>
      </c>
      <c r="C59" s="19">
        <f t="shared" si="2"/>
        <v>30</v>
      </c>
      <c r="D59" s="19">
        <f t="shared" si="3"/>
        <v>11</v>
      </c>
      <c r="E59" s="19">
        <f t="shared" si="4"/>
        <v>2021</v>
      </c>
      <c r="F59" s="17">
        <v>44530</v>
      </c>
      <c r="G59" s="72" t="s">
        <v>179</v>
      </c>
      <c r="H59" s="72" t="s">
        <v>180</v>
      </c>
      <c r="I59" s="19">
        <v>14769</v>
      </c>
      <c r="J59" s="18" t="s">
        <v>24</v>
      </c>
      <c r="K59" s="20" t="s">
        <v>178</v>
      </c>
      <c r="L59" s="105">
        <v>6097000</v>
      </c>
      <c r="M59" s="88">
        <v>46356</v>
      </c>
      <c r="N59" s="20">
        <v>60</v>
      </c>
      <c r="O59" s="19">
        <f t="shared" si="5"/>
        <v>56</v>
      </c>
      <c r="P59" s="19">
        <f t="shared" si="6"/>
        <v>4</v>
      </c>
    </row>
    <row r="60" spans="1:16" ht="27" x14ac:dyDescent="0.35">
      <c r="A60" s="15">
        <v>54</v>
      </c>
      <c r="B60" s="16" t="s">
        <v>181</v>
      </c>
      <c r="C60" s="19">
        <f t="shared" si="2"/>
        <v>30</v>
      </c>
      <c r="D60" s="19">
        <f t="shared" si="3"/>
        <v>11</v>
      </c>
      <c r="E60" s="19">
        <f t="shared" si="4"/>
        <v>2021</v>
      </c>
      <c r="F60" s="17">
        <v>44530</v>
      </c>
      <c r="G60" s="72" t="s">
        <v>182</v>
      </c>
      <c r="H60" s="72" t="s">
        <v>183</v>
      </c>
      <c r="I60" s="19">
        <v>14770</v>
      </c>
      <c r="J60" s="18" t="s">
        <v>24</v>
      </c>
      <c r="K60" s="20" t="s">
        <v>60</v>
      </c>
      <c r="L60" s="105">
        <v>5998000</v>
      </c>
      <c r="M60" s="88">
        <v>46356</v>
      </c>
      <c r="N60" s="20">
        <v>60</v>
      </c>
      <c r="O60" s="19">
        <f t="shared" si="5"/>
        <v>56</v>
      </c>
      <c r="P60" s="19">
        <f t="shared" si="6"/>
        <v>4</v>
      </c>
    </row>
    <row r="61" spans="1:16" ht="27" x14ac:dyDescent="0.35">
      <c r="A61" s="15">
        <v>55</v>
      </c>
      <c r="B61" s="16" t="s">
        <v>184</v>
      </c>
      <c r="C61" s="19">
        <f t="shared" si="2"/>
        <v>30</v>
      </c>
      <c r="D61" s="19">
        <f t="shared" si="3"/>
        <v>11</v>
      </c>
      <c r="E61" s="19">
        <f t="shared" si="4"/>
        <v>2021</v>
      </c>
      <c r="F61" s="17">
        <v>44530</v>
      </c>
      <c r="G61" s="72" t="s">
        <v>185</v>
      </c>
      <c r="H61" s="72" t="s">
        <v>186</v>
      </c>
      <c r="I61" s="19">
        <v>14771</v>
      </c>
      <c r="J61" s="18" t="s">
        <v>24</v>
      </c>
      <c r="K61" s="20" t="s">
        <v>187</v>
      </c>
      <c r="L61" s="105">
        <v>22746200</v>
      </c>
      <c r="M61" s="88">
        <v>46356</v>
      </c>
      <c r="N61" s="20">
        <v>60</v>
      </c>
      <c r="O61" s="19">
        <f t="shared" si="5"/>
        <v>56</v>
      </c>
      <c r="P61" s="19">
        <f t="shared" si="6"/>
        <v>4</v>
      </c>
    </row>
    <row r="62" spans="1:16" ht="27" x14ac:dyDescent="0.35">
      <c r="A62" s="15">
        <v>56</v>
      </c>
      <c r="B62" s="16" t="s">
        <v>188</v>
      </c>
      <c r="C62" s="19">
        <f t="shared" si="2"/>
        <v>22</v>
      </c>
      <c r="D62" s="19">
        <f t="shared" si="3"/>
        <v>12</v>
      </c>
      <c r="E62" s="19">
        <f t="shared" si="4"/>
        <v>2021</v>
      </c>
      <c r="F62" s="17">
        <v>44552</v>
      </c>
      <c r="G62" s="72" t="s">
        <v>189</v>
      </c>
      <c r="H62" s="72" t="s">
        <v>190</v>
      </c>
      <c r="I62" s="19">
        <v>14777</v>
      </c>
      <c r="J62" s="18" t="s">
        <v>24</v>
      </c>
      <c r="K62" s="20" t="s">
        <v>191</v>
      </c>
      <c r="L62" s="105">
        <v>14850000</v>
      </c>
      <c r="M62" s="88">
        <v>46378</v>
      </c>
      <c r="N62" s="20">
        <v>60</v>
      </c>
      <c r="O62" s="19">
        <f t="shared" si="5"/>
        <v>55</v>
      </c>
      <c r="P62" s="19">
        <f t="shared" si="6"/>
        <v>5</v>
      </c>
    </row>
    <row r="63" spans="1:16" ht="27" x14ac:dyDescent="0.35">
      <c r="A63" s="15">
        <v>57</v>
      </c>
      <c r="B63" s="16" t="s">
        <v>192</v>
      </c>
      <c r="C63" s="19">
        <f t="shared" si="2"/>
        <v>28</v>
      </c>
      <c r="D63" s="19">
        <f t="shared" si="3"/>
        <v>4</v>
      </c>
      <c r="E63" s="19">
        <f t="shared" si="4"/>
        <v>2022</v>
      </c>
      <c r="F63" s="17">
        <v>44679</v>
      </c>
      <c r="G63" s="72" t="s">
        <v>193</v>
      </c>
      <c r="H63" s="72" t="s">
        <v>194</v>
      </c>
      <c r="I63" s="19">
        <v>14783</v>
      </c>
      <c r="J63" s="18" t="s">
        <v>24</v>
      </c>
      <c r="K63" s="20" t="s">
        <v>195</v>
      </c>
      <c r="L63" s="105">
        <v>18863900</v>
      </c>
      <c r="M63" s="88">
        <v>46505</v>
      </c>
      <c r="N63" s="20">
        <v>60</v>
      </c>
      <c r="O63" s="19">
        <f t="shared" si="5"/>
        <v>51</v>
      </c>
      <c r="P63" s="19">
        <f t="shared" si="6"/>
        <v>9</v>
      </c>
    </row>
    <row r="64" spans="1:16" ht="27" x14ac:dyDescent="0.35">
      <c r="A64" s="15">
        <v>58</v>
      </c>
      <c r="B64" s="16" t="s">
        <v>196</v>
      </c>
      <c r="C64" s="19">
        <f t="shared" si="2"/>
        <v>23</v>
      </c>
      <c r="D64" s="19">
        <f t="shared" si="3"/>
        <v>4</v>
      </c>
      <c r="E64" s="19">
        <f t="shared" si="4"/>
        <v>2021</v>
      </c>
      <c r="F64" s="17">
        <v>44309</v>
      </c>
      <c r="G64" s="72" t="s">
        <v>197</v>
      </c>
      <c r="H64" s="72" t="s">
        <v>198</v>
      </c>
      <c r="I64" s="19">
        <v>14801</v>
      </c>
      <c r="J64" s="18" t="s">
        <v>24</v>
      </c>
      <c r="K64" s="20" t="s">
        <v>56</v>
      </c>
      <c r="L64" s="105">
        <v>8999000</v>
      </c>
      <c r="M64" s="88">
        <v>46135</v>
      </c>
      <c r="N64" s="20">
        <v>60</v>
      </c>
      <c r="O64" s="19">
        <f t="shared" si="5"/>
        <v>63</v>
      </c>
      <c r="P64" s="19" t="str">
        <f t="shared" si="6"/>
        <v>UMUR HABIS</v>
      </c>
    </row>
    <row r="65" spans="1:16" ht="27" x14ac:dyDescent="0.35">
      <c r="A65" s="15">
        <v>59</v>
      </c>
      <c r="B65" s="16" t="s">
        <v>63</v>
      </c>
      <c r="C65" s="19">
        <f t="shared" si="2"/>
        <v>19</v>
      </c>
      <c r="D65" s="19">
        <f t="shared" si="3"/>
        <v>12</v>
      </c>
      <c r="E65" s="19">
        <f t="shared" si="4"/>
        <v>2016</v>
      </c>
      <c r="F65" s="17">
        <v>42723</v>
      </c>
      <c r="G65" s="72">
        <v>0</v>
      </c>
      <c r="H65" s="72" t="s">
        <v>199</v>
      </c>
      <c r="I65" s="19">
        <v>14807</v>
      </c>
      <c r="J65" s="18">
        <v>0</v>
      </c>
      <c r="K65" s="20" t="s">
        <v>283</v>
      </c>
      <c r="L65" s="105">
        <v>5548752</v>
      </c>
      <c r="M65" s="88">
        <v>44549</v>
      </c>
      <c r="N65" s="20">
        <v>60</v>
      </c>
      <c r="O65" s="19">
        <f t="shared" si="5"/>
        <v>115</v>
      </c>
      <c r="P65" s="19" t="str">
        <f t="shared" si="6"/>
        <v>UMUR HABIS</v>
      </c>
    </row>
    <row r="66" spans="1:16" ht="27" x14ac:dyDescent="0.35">
      <c r="A66" s="15">
        <v>60</v>
      </c>
      <c r="B66" s="16" t="s">
        <v>73</v>
      </c>
      <c r="C66" s="19">
        <f t="shared" si="2"/>
        <v>16</v>
      </c>
      <c r="D66" s="19">
        <f t="shared" si="3"/>
        <v>12</v>
      </c>
      <c r="E66" s="19">
        <f t="shared" si="4"/>
        <v>2016</v>
      </c>
      <c r="F66" s="17">
        <v>42720</v>
      </c>
      <c r="G66" s="72" t="s">
        <v>200</v>
      </c>
      <c r="H66" s="72" t="s">
        <v>201</v>
      </c>
      <c r="I66" s="19">
        <v>14811</v>
      </c>
      <c r="J66" s="18" t="s">
        <v>24</v>
      </c>
      <c r="K66" s="20" t="s">
        <v>76</v>
      </c>
      <c r="L66" s="105">
        <v>5575900</v>
      </c>
      <c r="M66" s="88">
        <v>44546</v>
      </c>
      <c r="N66" s="20">
        <v>60</v>
      </c>
      <c r="O66" s="19">
        <f t="shared" si="5"/>
        <v>116</v>
      </c>
      <c r="P66" s="19" t="str">
        <f t="shared" si="6"/>
        <v>UMUR HABIS</v>
      </c>
    </row>
    <row r="67" spans="1:16" ht="27" x14ac:dyDescent="0.35">
      <c r="A67" s="15">
        <v>61</v>
      </c>
      <c r="B67" s="16" t="s">
        <v>202</v>
      </c>
      <c r="C67" s="19">
        <f t="shared" si="2"/>
        <v>23</v>
      </c>
      <c r="D67" s="19">
        <f t="shared" si="3"/>
        <v>10</v>
      </c>
      <c r="E67" s="19">
        <f t="shared" si="4"/>
        <v>2017</v>
      </c>
      <c r="F67" s="17">
        <v>43031</v>
      </c>
      <c r="G67" s="72" t="s">
        <v>203</v>
      </c>
      <c r="H67" s="72" t="s">
        <v>204</v>
      </c>
      <c r="I67" s="19">
        <v>14814</v>
      </c>
      <c r="J67" s="18" t="s">
        <v>24</v>
      </c>
      <c r="K67" s="20" t="s">
        <v>145</v>
      </c>
      <c r="L67" s="105">
        <v>3599000</v>
      </c>
      <c r="M67" s="88">
        <v>44857</v>
      </c>
      <c r="N67" s="20">
        <v>60</v>
      </c>
      <c r="O67" s="19">
        <f t="shared" si="5"/>
        <v>105</v>
      </c>
      <c r="P67" s="19" t="str">
        <f t="shared" si="6"/>
        <v>UMUR HABIS</v>
      </c>
    </row>
    <row r="68" spans="1:16" ht="27" x14ac:dyDescent="0.35">
      <c r="A68" s="15">
        <v>62</v>
      </c>
      <c r="B68" s="16" t="s">
        <v>205</v>
      </c>
      <c r="C68" s="19">
        <f t="shared" si="2"/>
        <v>27</v>
      </c>
      <c r="D68" s="19">
        <f t="shared" si="3"/>
        <v>2</v>
      </c>
      <c r="E68" s="19">
        <f t="shared" si="4"/>
        <v>2018</v>
      </c>
      <c r="F68" s="17">
        <v>43158</v>
      </c>
      <c r="G68" s="72" t="s">
        <v>206</v>
      </c>
      <c r="H68" s="72" t="s">
        <v>207</v>
      </c>
      <c r="I68" s="19">
        <v>14817</v>
      </c>
      <c r="J68" s="18" t="s">
        <v>24</v>
      </c>
      <c r="K68" s="20" t="s">
        <v>145</v>
      </c>
      <c r="L68" s="105">
        <v>11675127</v>
      </c>
      <c r="M68" s="88">
        <v>46810</v>
      </c>
      <c r="N68" s="20">
        <v>120</v>
      </c>
      <c r="O68" s="19">
        <f t="shared" si="5"/>
        <v>101</v>
      </c>
      <c r="P68" s="19">
        <f t="shared" si="6"/>
        <v>19</v>
      </c>
    </row>
    <row r="69" spans="1:16" ht="27" x14ac:dyDescent="0.35">
      <c r="A69" s="15">
        <v>63</v>
      </c>
      <c r="B69" s="16" t="s">
        <v>208</v>
      </c>
      <c r="C69" s="19">
        <f t="shared" si="2"/>
        <v>31</v>
      </c>
      <c r="D69" s="19">
        <f t="shared" si="3"/>
        <v>3</v>
      </c>
      <c r="E69" s="19">
        <f t="shared" si="4"/>
        <v>2018</v>
      </c>
      <c r="F69" s="17">
        <v>43190</v>
      </c>
      <c r="G69" s="72" t="s">
        <v>209</v>
      </c>
      <c r="H69" s="72" t="s">
        <v>210</v>
      </c>
      <c r="I69" s="19">
        <v>14822</v>
      </c>
      <c r="J69" s="18" t="s">
        <v>24</v>
      </c>
      <c r="K69" s="20" t="s">
        <v>151</v>
      </c>
      <c r="L69" s="105">
        <v>3049200</v>
      </c>
      <c r="M69" s="88">
        <v>45016</v>
      </c>
      <c r="N69" s="20">
        <v>60</v>
      </c>
      <c r="O69" s="19">
        <f t="shared" si="5"/>
        <v>100</v>
      </c>
      <c r="P69" s="19" t="str">
        <f t="shared" si="6"/>
        <v>UMUR HABIS</v>
      </c>
    </row>
    <row r="70" spans="1:16" ht="27" x14ac:dyDescent="0.35">
      <c r="A70" s="15">
        <v>64</v>
      </c>
      <c r="B70" s="16" t="s">
        <v>208</v>
      </c>
      <c r="C70" s="19">
        <f t="shared" si="2"/>
        <v>31</v>
      </c>
      <c r="D70" s="19">
        <f t="shared" si="3"/>
        <v>3</v>
      </c>
      <c r="E70" s="19">
        <f t="shared" si="4"/>
        <v>2018</v>
      </c>
      <c r="F70" s="17">
        <v>43190</v>
      </c>
      <c r="G70" s="72" t="s">
        <v>211</v>
      </c>
      <c r="H70" s="72" t="s">
        <v>212</v>
      </c>
      <c r="I70" s="19">
        <v>14823</v>
      </c>
      <c r="J70" s="18" t="s">
        <v>24</v>
      </c>
      <c r="K70" s="20" t="s">
        <v>174</v>
      </c>
      <c r="L70" s="105">
        <v>3049200</v>
      </c>
      <c r="M70" s="88">
        <v>45016</v>
      </c>
      <c r="N70" s="20">
        <v>60</v>
      </c>
      <c r="O70" s="19">
        <f t="shared" si="5"/>
        <v>100</v>
      </c>
      <c r="P70" s="19" t="str">
        <f t="shared" si="6"/>
        <v>UMUR HABIS</v>
      </c>
    </row>
    <row r="71" spans="1:16" ht="27" x14ac:dyDescent="0.35">
      <c r="A71" s="15">
        <v>65</v>
      </c>
      <c r="B71" s="16" t="s">
        <v>208</v>
      </c>
      <c r="C71" s="19">
        <f t="shared" si="2"/>
        <v>31</v>
      </c>
      <c r="D71" s="19">
        <f t="shared" si="3"/>
        <v>3</v>
      </c>
      <c r="E71" s="19">
        <f t="shared" si="4"/>
        <v>2018</v>
      </c>
      <c r="F71" s="17">
        <v>43190</v>
      </c>
      <c r="G71" s="72" t="s">
        <v>213</v>
      </c>
      <c r="H71" s="72" t="s">
        <v>214</v>
      </c>
      <c r="I71" s="19">
        <v>14824</v>
      </c>
      <c r="J71" s="18" t="s">
        <v>24</v>
      </c>
      <c r="K71" s="20" t="s">
        <v>178</v>
      </c>
      <c r="L71" s="105">
        <v>3049200</v>
      </c>
      <c r="M71" s="88">
        <v>45016</v>
      </c>
      <c r="N71" s="20">
        <v>60</v>
      </c>
      <c r="O71" s="19">
        <f t="shared" ref="O71:O102" si="7">IF(F71="","",ROUND((($O$4-F71)*12/365),0))</f>
        <v>100</v>
      </c>
      <c r="P71" s="19" t="str">
        <f t="shared" ref="P71:P102" si="8">IF(F71="","",IF(O71&gt;=N71,"UMUR HABIS",N71-O71))</f>
        <v>UMUR HABIS</v>
      </c>
    </row>
    <row r="72" spans="1:16" ht="27" x14ac:dyDescent="0.35">
      <c r="A72" s="15">
        <v>66</v>
      </c>
      <c r="B72" s="16" t="s">
        <v>208</v>
      </c>
      <c r="C72" s="19">
        <f t="shared" ref="C72:C122" si="9">DAY(F72)</f>
        <v>31</v>
      </c>
      <c r="D72" s="19">
        <f t="shared" ref="D72:D122" si="10">MONTH(F72)</f>
        <v>3</v>
      </c>
      <c r="E72" s="19">
        <f t="shared" ref="E72:E122" si="11">YEAR(F72)</f>
        <v>2018</v>
      </c>
      <c r="F72" s="17">
        <v>43190</v>
      </c>
      <c r="G72" s="72" t="s">
        <v>215</v>
      </c>
      <c r="H72" s="72" t="s">
        <v>216</v>
      </c>
      <c r="I72" s="19">
        <v>14825</v>
      </c>
      <c r="J72" s="18" t="s">
        <v>24</v>
      </c>
      <c r="K72" s="20" t="s">
        <v>98</v>
      </c>
      <c r="L72" s="105">
        <v>3049200</v>
      </c>
      <c r="M72" s="88">
        <v>45016</v>
      </c>
      <c r="N72" s="20">
        <v>60</v>
      </c>
      <c r="O72" s="19">
        <f t="shared" si="7"/>
        <v>100</v>
      </c>
      <c r="P72" s="19" t="str">
        <f t="shared" si="8"/>
        <v>UMUR HABIS</v>
      </c>
    </row>
    <row r="73" spans="1:16" ht="27" x14ac:dyDescent="0.35">
      <c r="A73" s="15">
        <v>67</v>
      </c>
      <c r="B73" s="16" t="s">
        <v>208</v>
      </c>
      <c r="C73" s="19">
        <f t="shared" si="9"/>
        <v>31</v>
      </c>
      <c r="D73" s="19">
        <f t="shared" si="10"/>
        <v>3</v>
      </c>
      <c r="E73" s="19">
        <f t="shared" si="11"/>
        <v>2018</v>
      </c>
      <c r="F73" s="17">
        <v>43190</v>
      </c>
      <c r="G73" s="72" t="s">
        <v>217</v>
      </c>
      <c r="H73" s="72" t="s">
        <v>218</v>
      </c>
      <c r="I73" s="19">
        <v>14826</v>
      </c>
      <c r="J73" s="18" t="s">
        <v>24</v>
      </c>
      <c r="K73" s="20" t="s">
        <v>98</v>
      </c>
      <c r="L73" s="105">
        <v>3049200</v>
      </c>
      <c r="M73" s="88">
        <v>45016</v>
      </c>
      <c r="N73" s="20">
        <v>60</v>
      </c>
      <c r="O73" s="19">
        <f t="shared" si="7"/>
        <v>100</v>
      </c>
      <c r="P73" s="19" t="str">
        <f t="shared" si="8"/>
        <v>UMUR HABIS</v>
      </c>
    </row>
    <row r="74" spans="1:16" ht="27" x14ac:dyDescent="0.35">
      <c r="A74" s="15">
        <v>68</v>
      </c>
      <c r="B74" s="16" t="s">
        <v>208</v>
      </c>
      <c r="C74" s="19">
        <f t="shared" si="9"/>
        <v>31</v>
      </c>
      <c r="D74" s="19">
        <f t="shared" si="10"/>
        <v>3</v>
      </c>
      <c r="E74" s="19">
        <f t="shared" si="11"/>
        <v>2018</v>
      </c>
      <c r="F74" s="17">
        <v>43190</v>
      </c>
      <c r="G74" s="72" t="s">
        <v>219</v>
      </c>
      <c r="H74" s="72" t="s">
        <v>220</v>
      </c>
      <c r="I74" s="19">
        <v>14827</v>
      </c>
      <c r="J74" s="18" t="s">
        <v>24</v>
      </c>
      <c r="K74" s="20" t="s">
        <v>38</v>
      </c>
      <c r="L74" s="105">
        <v>3049200</v>
      </c>
      <c r="M74" s="88">
        <v>45016</v>
      </c>
      <c r="N74" s="20">
        <v>60</v>
      </c>
      <c r="O74" s="19">
        <f t="shared" si="7"/>
        <v>100</v>
      </c>
      <c r="P74" s="19" t="str">
        <f t="shared" si="8"/>
        <v>UMUR HABIS</v>
      </c>
    </row>
    <row r="75" spans="1:16" ht="27" x14ac:dyDescent="0.35">
      <c r="A75" s="15">
        <v>69</v>
      </c>
      <c r="B75" s="16" t="s">
        <v>208</v>
      </c>
      <c r="C75" s="19">
        <f t="shared" si="9"/>
        <v>31</v>
      </c>
      <c r="D75" s="19">
        <f t="shared" si="10"/>
        <v>3</v>
      </c>
      <c r="E75" s="19">
        <f t="shared" si="11"/>
        <v>2018</v>
      </c>
      <c r="F75" s="17">
        <v>43190</v>
      </c>
      <c r="G75" s="72" t="s">
        <v>221</v>
      </c>
      <c r="H75" s="72" t="s">
        <v>222</v>
      </c>
      <c r="I75" s="19">
        <v>14828</v>
      </c>
      <c r="J75" s="18" t="s">
        <v>24</v>
      </c>
      <c r="K75" s="20" t="s">
        <v>145</v>
      </c>
      <c r="L75" s="105">
        <v>3049200</v>
      </c>
      <c r="M75" s="88">
        <v>45016</v>
      </c>
      <c r="N75" s="20">
        <v>60</v>
      </c>
      <c r="O75" s="19">
        <f t="shared" si="7"/>
        <v>100</v>
      </c>
      <c r="P75" s="19" t="str">
        <f t="shared" si="8"/>
        <v>UMUR HABIS</v>
      </c>
    </row>
    <row r="76" spans="1:16" ht="27" x14ac:dyDescent="0.35">
      <c r="A76" s="15">
        <v>70</v>
      </c>
      <c r="B76" s="16" t="s">
        <v>208</v>
      </c>
      <c r="C76" s="19">
        <f t="shared" si="9"/>
        <v>31</v>
      </c>
      <c r="D76" s="19">
        <f t="shared" si="10"/>
        <v>3</v>
      </c>
      <c r="E76" s="19">
        <f t="shared" si="11"/>
        <v>2018</v>
      </c>
      <c r="F76" s="17">
        <v>43190</v>
      </c>
      <c r="G76" s="72" t="s">
        <v>223</v>
      </c>
      <c r="H76" s="72" t="s">
        <v>224</v>
      </c>
      <c r="I76" s="19">
        <v>14829</v>
      </c>
      <c r="J76" s="18" t="s">
        <v>24</v>
      </c>
      <c r="K76" s="20" t="s">
        <v>98</v>
      </c>
      <c r="L76" s="105">
        <v>3049200</v>
      </c>
      <c r="M76" s="88">
        <v>45016</v>
      </c>
      <c r="N76" s="20">
        <v>60</v>
      </c>
      <c r="O76" s="19">
        <f t="shared" si="7"/>
        <v>100</v>
      </c>
      <c r="P76" s="19" t="str">
        <f t="shared" si="8"/>
        <v>UMUR HABIS</v>
      </c>
    </row>
    <row r="77" spans="1:16" ht="27" x14ac:dyDescent="0.35">
      <c r="A77" s="15">
        <v>71</v>
      </c>
      <c r="B77" s="16" t="s">
        <v>208</v>
      </c>
      <c r="C77" s="19">
        <f t="shared" si="9"/>
        <v>31</v>
      </c>
      <c r="D77" s="19">
        <f t="shared" si="10"/>
        <v>3</v>
      </c>
      <c r="E77" s="19">
        <f t="shared" si="11"/>
        <v>2018</v>
      </c>
      <c r="F77" s="17">
        <v>43190</v>
      </c>
      <c r="G77" s="72" t="s">
        <v>225</v>
      </c>
      <c r="H77" s="72" t="s">
        <v>226</v>
      </c>
      <c r="I77" s="19">
        <v>14830</v>
      </c>
      <c r="J77" s="18" t="s">
        <v>24</v>
      </c>
      <c r="K77" s="20" t="s">
        <v>145</v>
      </c>
      <c r="L77" s="105">
        <v>3049200</v>
      </c>
      <c r="M77" s="88">
        <v>45016</v>
      </c>
      <c r="N77" s="20">
        <v>60</v>
      </c>
      <c r="O77" s="19">
        <f t="shared" si="7"/>
        <v>100</v>
      </c>
      <c r="P77" s="19" t="str">
        <f t="shared" si="8"/>
        <v>UMUR HABIS</v>
      </c>
    </row>
    <row r="78" spans="1:16" ht="27" x14ac:dyDescent="0.35">
      <c r="A78" s="15">
        <v>72</v>
      </c>
      <c r="B78" s="16" t="s">
        <v>208</v>
      </c>
      <c r="C78" s="19">
        <f t="shared" si="9"/>
        <v>31</v>
      </c>
      <c r="D78" s="19">
        <f t="shared" si="10"/>
        <v>3</v>
      </c>
      <c r="E78" s="19">
        <f t="shared" si="11"/>
        <v>2018</v>
      </c>
      <c r="F78" s="17">
        <v>43190</v>
      </c>
      <c r="G78" s="72" t="s">
        <v>227</v>
      </c>
      <c r="H78" s="72" t="s">
        <v>228</v>
      </c>
      <c r="I78" s="19">
        <v>14831</v>
      </c>
      <c r="J78" s="18" t="s">
        <v>24</v>
      </c>
      <c r="K78" s="20" t="s">
        <v>174</v>
      </c>
      <c r="L78" s="105">
        <v>3049200</v>
      </c>
      <c r="M78" s="88">
        <v>45016</v>
      </c>
      <c r="N78" s="20">
        <v>60</v>
      </c>
      <c r="O78" s="19">
        <f t="shared" si="7"/>
        <v>100</v>
      </c>
      <c r="P78" s="19" t="str">
        <f t="shared" si="8"/>
        <v>UMUR HABIS</v>
      </c>
    </row>
    <row r="79" spans="1:16" ht="27" x14ac:dyDescent="0.35">
      <c r="A79" s="15">
        <v>73</v>
      </c>
      <c r="B79" s="16" t="s">
        <v>208</v>
      </c>
      <c r="C79" s="19">
        <f t="shared" si="9"/>
        <v>31</v>
      </c>
      <c r="D79" s="19">
        <f t="shared" si="10"/>
        <v>3</v>
      </c>
      <c r="E79" s="19">
        <f t="shared" si="11"/>
        <v>2018</v>
      </c>
      <c r="F79" s="17">
        <v>43190</v>
      </c>
      <c r="G79" s="72" t="s">
        <v>229</v>
      </c>
      <c r="H79" s="72" t="s">
        <v>230</v>
      </c>
      <c r="I79" s="19">
        <v>14832</v>
      </c>
      <c r="J79" s="18" t="s">
        <v>24</v>
      </c>
      <c r="K79" s="20" t="s">
        <v>38</v>
      </c>
      <c r="L79" s="105">
        <v>3049200</v>
      </c>
      <c r="M79" s="88">
        <v>45016</v>
      </c>
      <c r="N79" s="20">
        <v>60</v>
      </c>
      <c r="O79" s="19">
        <f t="shared" si="7"/>
        <v>100</v>
      </c>
      <c r="P79" s="19" t="str">
        <f t="shared" si="8"/>
        <v>UMUR HABIS</v>
      </c>
    </row>
    <row r="80" spans="1:16" ht="27" x14ac:dyDescent="0.35">
      <c r="A80" s="15">
        <v>74</v>
      </c>
      <c r="B80" s="16" t="s">
        <v>208</v>
      </c>
      <c r="C80" s="19">
        <f t="shared" si="9"/>
        <v>31</v>
      </c>
      <c r="D80" s="19">
        <f t="shared" si="10"/>
        <v>3</v>
      </c>
      <c r="E80" s="19">
        <f t="shared" si="11"/>
        <v>2018</v>
      </c>
      <c r="F80" s="17">
        <v>43190</v>
      </c>
      <c r="G80" s="72" t="s">
        <v>231</v>
      </c>
      <c r="H80" s="72" t="s">
        <v>232</v>
      </c>
      <c r="I80" s="19">
        <v>14833</v>
      </c>
      <c r="J80" s="18" t="s">
        <v>24</v>
      </c>
      <c r="K80" s="20" t="s">
        <v>178</v>
      </c>
      <c r="L80" s="105">
        <v>3049200</v>
      </c>
      <c r="M80" s="88">
        <v>45016</v>
      </c>
      <c r="N80" s="20">
        <v>60</v>
      </c>
      <c r="O80" s="19">
        <f t="shared" si="7"/>
        <v>100</v>
      </c>
      <c r="P80" s="19" t="str">
        <f t="shared" si="8"/>
        <v>UMUR HABIS</v>
      </c>
    </row>
    <row r="81" spans="1:16" ht="27" x14ac:dyDescent="0.35">
      <c r="A81" s="15">
        <v>75</v>
      </c>
      <c r="B81" s="16" t="s">
        <v>208</v>
      </c>
      <c r="C81" s="19">
        <f t="shared" si="9"/>
        <v>31</v>
      </c>
      <c r="D81" s="19">
        <f t="shared" si="10"/>
        <v>3</v>
      </c>
      <c r="E81" s="19">
        <f t="shared" si="11"/>
        <v>2018</v>
      </c>
      <c r="F81" s="17">
        <v>43190</v>
      </c>
      <c r="G81" s="72" t="s">
        <v>233</v>
      </c>
      <c r="H81" s="72" t="s">
        <v>234</v>
      </c>
      <c r="I81" s="19">
        <v>14834</v>
      </c>
      <c r="J81" s="18" t="s">
        <v>24</v>
      </c>
      <c r="K81" s="20" t="s">
        <v>56</v>
      </c>
      <c r="L81" s="105">
        <v>3049200</v>
      </c>
      <c r="M81" s="88">
        <v>45016</v>
      </c>
      <c r="N81" s="20">
        <v>60</v>
      </c>
      <c r="O81" s="19">
        <f t="shared" si="7"/>
        <v>100</v>
      </c>
      <c r="P81" s="19" t="str">
        <f t="shared" si="8"/>
        <v>UMUR HABIS</v>
      </c>
    </row>
    <row r="82" spans="1:16" ht="27" x14ac:dyDescent="0.35">
      <c r="A82" s="15">
        <v>76</v>
      </c>
      <c r="B82" s="16" t="s">
        <v>208</v>
      </c>
      <c r="C82" s="19">
        <f t="shared" si="9"/>
        <v>31</v>
      </c>
      <c r="D82" s="19">
        <f t="shared" si="10"/>
        <v>3</v>
      </c>
      <c r="E82" s="19">
        <f t="shared" si="11"/>
        <v>2018</v>
      </c>
      <c r="F82" s="17">
        <v>43190</v>
      </c>
      <c r="G82" s="72" t="s">
        <v>235</v>
      </c>
      <c r="H82" s="72" t="s">
        <v>236</v>
      </c>
      <c r="I82" s="19">
        <v>14835</v>
      </c>
      <c r="J82" s="18" t="s">
        <v>24</v>
      </c>
      <c r="K82" s="20" t="s">
        <v>98</v>
      </c>
      <c r="L82" s="105">
        <v>3049200</v>
      </c>
      <c r="M82" s="88">
        <v>45016</v>
      </c>
      <c r="N82" s="20">
        <v>60</v>
      </c>
      <c r="O82" s="19">
        <f t="shared" si="7"/>
        <v>100</v>
      </c>
      <c r="P82" s="19" t="str">
        <f t="shared" si="8"/>
        <v>UMUR HABIS</v>
      </c>
    </row>
    <row r="83" spans="1:16" ht="27" x14ac:dyDescent="0.35">
      <c r="A83" s="15">
        <v>77</v>
      </c>
      <c r="B83" s="16" t="s">
        <v>208</v>
      </c>
      <c r="C83" s="19">
        <f t="shared" si="9"/>
        <v>31</v>
      </c>
      <c r="D83" s="19">
        <f t="shared" si="10"/>
        <v>3</v>
      </c>
      <c r="E83" s="19">
        <f t="shared" si="11"/>
        <v>2018</v>
      </c>
      <c r="F83" s="17">
        <v>43190</v>
      </c>
      <c r="G83" s="72" t="s">
        <v>237</v>
      </c>
      <c r="H83" s="72" t="s">
        <v>238</v>
      </c>
      <c r="I83" s="19">
        <v>14836</v>
      </c>
      <c r="J83" s="18" t="s">
        <v>24</v>
      </c>
      <c r="K83" s="20" t="s">
        <v>239</v>
      </c>
      <c r="L83" s="105">
        <v>3049200</v>
      </c>
      <c r="M83" s="88">
        <v>45016</v>
      </c>
      <c r="N83" s="20">
        <v>60</v>
      </c>
      <c r="O83" s="19">
        <f t="shared" si="7"/>
        <v>100</v>
      </c>
      <c r="P83" s="19" t="str">
        <f t="shared" si="8"/>
        <v>UMUR HABIS</v>
      </c>
    </row>
    <row r="84" spans="1:16" ht="27" x14ac:dyDescent="0.35">
      <c r="A84" s="15">
        <v>78</v>
      </c>
      <c r="B84" s="16" t="s">
        <v>208</v>
      </c>
      <c r="C84" s="19">
        <f t="shared" si="9"/>
        <v>31</v>
      </c>
      <c r="D84" s="19">
        <f t="shared" si="10"/>
        <v>3</v>
      </c>
      <c r="E84" s="19">
        <f t="shared" si="11"/>
        <v>2018</v>
      </c>
      <c r="F84" s="17">
        <v>43190</v>
      </c>
      <c r="G84" s="72" t="s">
        <v>240</v>
      </c>
      <c r="H84" s="72" t="s">
        <v>241</v>
      </c>
      <c r="I84" s="19">
        <v>14837</v>
      </c>
      <c r="J84" s="18" t="s">
        <v>24</v>
      </c>
      <c r="K84" s="20" t="s">
        <v>38</v>
      </c>
      <c r="L84" s="105">
        <v>3049200</v>
      </c>
      <c r="M84" s="88">
        <v>45016</v>
      </c>
      <c r="N84" s="20">
        <v>60</v>
      </c>
      <c r="O84" s="19">
        <f t="shared" si="7"/>
        <v>100</v>
      </c>
      <c r="P84" s="19" t="str">
        <f t="shared" si="8"/>
        <v>UMUR HABIS</v>
      </c>
    </row>
    <row r="85" spans="1:16" ht="27" x14ac:dyDescent="0.35">
      <c r="A85" s="15">
        <v>79</v>
      </c>
      <c r="B85" s="16" t="s">
        <v>208</v>
      </c>
      <c r="C85" s="19">
        <f t="shared" si="9"/>
        <v>31</v>
      </c>
      <c r="D85" s="19">
        <f t="shared" si="10"/>
        <v>3</v>
      </c>
      <c r="E85" s="19">
        <f t="shared" si="11"/>
        <v>2018</v>
      </c>
      <c r="F85" s="17">
        <v>43190</v>
      </c>
      <c r="G85" s="72" t="s">
        <v>242</v>
      </c>
      <c r="H85" s="72" t="s">
        <v>243</v>
      </c>
      <c r="I85" s="19">
        <v>14838</v>
      </c>
      <c r="J85" s="18" t="s">
        <v>24</v>
      </c>
      <c r="K85" s="20" t="s">
        <v>239</v>
      </c>
      <c r="L85" s="105">
        <v>3049200</v>
      </c>
      <c r="M85" s="88">
        <v>45016</v>
      </c>
      <c r="N85" s="20">
        <v>60</v>
      </c>
      <c r="O85" s="19">
        <f t="shared" si="7"/>
        <v>100</v>
      </c>
      <c r="P85" s="19" t="str">
        <f t="shared" si="8"/>
        <v>UMUR HABIS</v>
      </c>
    </row>
    <row r="86" spans="1:16" ht="27" x14ac:dyDescent="0.35">
      <c r="A86" s="15">
        <v>80</v>
      </c>
      <c r="B86" s="16" t="s">
        <v>208</v>
      </c>
      <c r="C86" s="19">
        <f t="shared" si="9"/>
        <v>31</v>
      </c>
      <c r="D86" s="19">
        <f t="shared" si="10"/>
        <v>3</v>
      </c>
      <c r="E86" s="19">
        <f t="shared" si="11"/>
        <v>2018</v>
      </c>
      <c r="F86" s="17">
        <v>43190</v>
      </c>
      <c r="G86" s="72" t="s">
        <v>244</v>
      </c>
      <c r="H86" s="72" t="s">
        <v>245</v>
      </c>
      <c r="I86" s="19">
        <v>14839</v>
      </c>
      <c r="J86" s="18" t="s">
        <v>24</v>
      </c>
      <c r="K86" s="20" t="s">
        <v>60</v>
      </c>
      <c r="L86" s="105">
        <v>3049200</v>
      </c>
      <c r="M86" s="88">
        <v>45016</v>
      </c>
      <c r="N86" s="20">
        <v>60</v>
      </c>
      <c r="O86" s="19">
        <f t="shared" si="7"/>
        <v>100</v>
      </c>
      <c r="P86" s="19" t="str">
        <f t="shared" si="8"/>
        <v>UMUR HABIS</v>
      </c>
    </row>
    <row r="87" spans="1:16" ht="27" x14ac:dyDescent="0.35">
      <c r="A87" s="15">
        <v>81</v>
      </c>
      <c r="B87" s="16" t="s">
        <v>208</v>
      </c>
      <c r="C87" s="19">
        <f t="shared" si="9"/>
        <v>31</v>
      </c>
      <c r="D87" s="19">
        <f t="shared" si="10"/>
        <v>3</v>
      </c>
      <c r="E87" s="19">
        <f t="shared" si="11"/>
        <v>2018</v>
      </c>
      <c r="F87" s="17">
        <v>43190</v>
      </c>
      <c r="G87" s="72" t="s">
        <v>246</v>
      </c>
      <c r="H87" s="72" t="s">
        <v>247</v>
      </c>
      <c r="I87" s="19">
        <v>14840</v>
      </c>
      <c r="J87" s="18" t="s">
        <v>24</v>
      </c>
      <c r="K87" s="20" t="s">
        <v>38</v>
      </c>
      <c r="L87" s="105">
        <v>3049200</v>
      </c>
      <c r="M87" s="88">
        <v>45016</v>
      </c>
      <c r="N87" s="20">
        <v>60</v>
      </c>
      <c r="O87" s="19">
        <f t="shared" si="7"/>
        <v>100</v>
      </c>
      <c r="P87" s="19" t="str">
        <f t="shared" si="8"/>
        <v>UMUR HABIS</v>
      </c>
    </row>
    <row r="88" spans="1:16" ht="27" x14ac:dyDescent="0.35">
      <c r="A88" s="15">
        <v>82</v>
      </c>
      <c r="B88" s="16" t="s">
        <v>208</v>
      </c>
      <c r="C88" s="19">
        <f t="shared" si="9"/>
        <v>31</v>
      </c>
      <c r="D88" s="19">
        <f t="shared" si="10"/>
        <v>3</v>
      </c>
      <c r="E88" s="19">
        <f t="shared" si="11"/>
        <v>2018</v>
      </c>
      <c r="F88" s="17">
        <v>43190</v>
      </c>
      <c r="G88" s="72" t="s">
        <v>248</v>
      </c>
      <c r="H88" s="72" t="s">
        <v>249</v>
      </c>
      <c r="I88" s="19">
        <v>14841</v>
      </c>
      <c r="J88" s="18" t="s">
        <v>24</v>
      </c>
      <c r="K88" s="20" t="s">
        <v>38</v>
      </c>
      <c r="L88" s="105">
        <v>3049200</v>
      </c>
      <c r="M88" s="88">
        <v>45016</v>
      </c>
      <c r="N88" s="20">
        <v>60</v>
      </c>
      <c r="O88" s="19">
        <f t="shared" si="7"/>
        <v>100</v>
      </c>
      <c r="P88" s="19" t="str">
        <f t="shared" si="8"/>
        <v>UMUR HABIS</v>
      </c>
    </row>
    <row r="89" spans="1:16" ht="27" x14ac:dyDescent="0.35">
      <c r="A89" s="15">
        <v>83</v>
      </c>
      <c r="B89" s="16" t="s">
        <v>250</v>
      </c>
      <c r="C89" s="19">
        <f t="shared" si="9"/>
        <v>31</v>
      </c>
      <c r="D89" s="19">
        <f t="shared" si="10"/>
        <v>3</v>
      </c>
      <c r="E89" s="19">
        <f t="shared" si="11"/>
        <v>2018</v>
      </c>
      <c r="F89" s="17">
        <v>43190</v>
      </c>
      <c r="G89" s="72" t="s">
        <v>251</v>
      </c>
      <c r="H89" s="72" t="s">
        <v>252</v>
      </c>
      <c r="I89" s="19">
        <v>14851</v>
      </c>
      <c r="J89" s="18" t="s">
        <v>24</v>
      </c>
      <c r="K89" s="20" t="s">
        <v>38</v>
      </c>
      <c r="L89" s="105">
        <v>3049200</v>
      </c>
      <c r="M89" s="88">
        <v>45016</v>
      </c>
      <c r="N89" s="20">
        <v>60</v>
      </c>
      <c r="O89" s="19">
        <f t="shared" si="7"/>
        <v>100</v>
      </c>
      <c r="P89" s="19" t="str">
        <f t="shared" si="8"/>
        <v>UMUR HABIS</v>
      </c>
    </row>
    <row r="90" spans="1:16" ht="27" x14ac:dyDescent="0.35">
      <c r="A90" s="15">
        <v>84</v>
      </c>
      <c r="B90" s="16" t="s">
        <v>250</v>
      </c>
      <c r="C90" s="19">
        <f t="shared" si="9"/>
        <v>31</v>
      </c>
      <c r="D90" s="19">
        <f t="shared" si="10"/>
        <v>3</v>
      </c>
      <c r="E90" s="19">
        <f t="shared" si="11"/>
        <v>2018</v>
      </c>
      <c r="F90" s="17">
        <v>43190</v>
      </c>
      <c r="G90" s="72" t="s">
        <v>253</v>
      </c>
      <c r="H90" s="72" t="s">
        <v>254</v>
      </c>
      <c r="I90" s="19">
        <v>14852</v>
      </c>
      <c r="J90" s="18" t="s">
        <v>24</v>
      </c>
      <c r="K90" s="20" t="s">
        <v>38</v>
      </c>
      <c r="L90" s="105">
        <v>3049200</v>
      </c>
      <c r="M90" s="88">
        <v>45016</v>
      </c>
      <c r="N90" s="20">
        <v>60</v>
      </c>
      <c r="O90" s="19">
        <f t="shared" si="7"/>
        <v>100</v>
      </c>
      <c r="P90" s="19" t="str">
        <f t="shared" si="8"/>
        <v>UMUR HABIS</v>
      </c>
    </row>
    <row r="91" spans="1:16" ht="27" x14ac:dyDescent="0.35">
      <c r="A91" s="15">
        <v>85</v>
      </c>
      <c r="B91" s="16" t="s">
        <v>250</v>
      </c>
      <c r="C91" s="19">
        <f t="shared" si="9"/>
        <v>31</v>
      </c>
      <c r="D91" s="19">
        <f t="shared" si="10"/>
        <v>3</v>
      </c>
      <c r="E91" s="19">
        <f t="shared" si="11"/>
        <v>2018</v>
      </c>
      <c r="F91" s="17">
        <v>43190</v>
      </c>
      <c r="G91" s="72" t="s">
        <v>255</v>
      </c>
      <c r="H91" s="72" t="s">
        <v>256</v>
      </c>
      <c r="I91" s="19">
        <v>14853</v>
      </c>
      <c r="J91" s="18" t="s">
        <v>24</v>
      </c>
      <c r="K91" s="20" t="s">
        <v>174</v>
      </c>
      <c r="L91" s="105">
        <v>3049200</v>
      </c>
      <c r="M91" s="88">
        <v>45016</v>
      </c>
      <c r="N91" s="20">
        <v>60</v>
      </c>
      <c r="O91" s="19">
        <f t="shared" si="7"/>
        <v>100</v>
      </c>
      <c r="P91" s="19" t="str">
        <f t="shared" si="8"/>
        <v>UMUR HABIS</v>
      </c>
    </row>
    <row r="92" spans="1:16" ht="27" x14ac:dyDescent="0.35">
      <c r="A92" s="15">
        <v>86</v>
      </c>
      <c r="B92" s="16" t="s">
        <v>250</v>
      </c>
      <c r="C92" s="19">
        <f t="shared" si="9"/>
        <v>31</v>
      </c>
      <c r="D92" s="19">
        <f t="shared" si="10"/>
        <v>3</v>
      </c>
      <c r="E92" s="19">
        <f t="shared" si="11"/>
        <v>2018</v>
      </c>
      <c r="F92" s="17">
        <v>43190</v>
      </c>
      <c r="G92" s="72" t="s">
        <v>257</v>
      </c>
      <c r="H92" s="72" t="s">
        <v>258</v>
      </c>
      <c r="I92" s="19">
        <v>14854</v>
      </c>
      <c r="J92" s="18" t="s">
        <v>24</v>
      </c>
      <c r="K92" s="20" t="s">
        <v>161</v>
      </c>
      <c r="L92" s="105">
        <v>3049200</v>
      </c>
      <c r="M92" s="88">
        <v>45016</v>
      </c>
      <c r="N92" s="20">
        <v>60</v>
      </c>
      <c r="O92" s="19">
        <f t="shared" si="7"/>
        <v>100</v>
      </c>
      <c r="P92" s="19" t="str">
        <f t="shared" si="8"/>
        <v>UMUR HABIS</v>
      </c>
    </row>
    <row r="93" spans="1:16" ht="27" x14ac:dyDescent="0.35">
      <c r="A93" s="15">
        <v>87</v>
      </c>
      <c r="B93" s="16" t="s">
        <v>250</v>
      </c>
      <c r="C93" s="19">
        <f t="shared" si="9"/>
        <v>31</v>
      </c>
      <c r="D93" s="19">
        <f t="shared" si="10"/>
        <v>3</v>
      </c>
      <c r="E93" s="19">
        <f t="shared" si="11"/>
        <v>2018</v>
      </c>
      <c r="F93" s="17">
        <v>43190</v>
      </c>
      <c r="G93" s="72" t="s">
        <v>259</v>
      </c>
      <c r="H93" s="72" t="s">
        <v>260</v>
      </c>
      <c r="I93" s="19">
        <v>14855</v>
      </c>
      <c r="J93" s="18" t="s">
        <v>24</v>
      </c>
      <c r="K93" s="20" t="s">
        <v>98</v>
      </c>
      <c r="L93" s="105">
        <v>3049200</v>
      </c>
      <c r="M93" s="88">
        <v>45016</v>
      </c>
      <c r="N93" s="20">
        <v>60</v>
      </c>
      <c r="O93" s="19">
        <f t="shared" si="7"/>
        <v>100</v>
      </c>
      <c r="P93" s="19" t="str">
        <f t="shared" si="8"/>
        <v>UMUR HABIS</v>
      </c>
    </row>
    <row r="94" spans="1:16" ht="27" x14ac:dyDescent="0.35">
      <c r="A94" s="15">
        <v>88</v>
      </c>
      <c r="B94" s="16" t="s">
        <v>250</v>
      </c>
      <c r="C94" s="19">
        <f t="shared" si="9"/>
        <v>31</v>
      </c>
      <c r="D94" s="19">
        <f t="shared" si="10"/>
        <v>3</v>
      </c>
      <c r="E94" s="19">
        <f t="shared" si="11"/>
        <v>2018</v>
      </c>
      <c r="F94" s="17">
        <v>43190</v>
      </c>
      <c r="G94" s="72" t="s">
        <v>261</v>
      </c>
      <c r="H94" s="72" t="s">
        <v>262</v>
      </c>
      <c r="I94" s="19">
        <v>14856</v>
      </c>
      <c r="J94" s="18" t="s">
        <v>24</v>
      </c>
      <c r="K94" s="20" t="s">
        <v>56</v>
      </c>
      <c r="L94" s="105">
        <v>3049200</v>
      </c>
      <c r="M94" s="88">
        <v>45016</v>
      </c>
      <c r="N94" s="20">
        <v>60</v>
      </c>
      <c r="O94" s="19">
        <f t="shared" si="7"/>
        <v>100</v>
      </c>
      <c r="P94" s="19" t="str">
        <f t="shared" si="8"/>
        <v>UMUR HABIS</v>
      </c>
    </row>
    <row r="95" spans="1:16" ht="27" x14ac:dyDescent="0.35">
      <c r="A95" s="15">
        <v>89</v>
      </c>
      <c r="B95" s="16" t="s">
        <v>250</v>
      </c>
      <c r="C95" s="19">
        <f t="shared" si="9"/>
        <v>31</v>
      </c>
      <c r="D95" s="19">
        <f t="shared" si="10"/>
        <v>3</v>
      </c>
      <c r="E95" s="19">
        <f t="shared" si="11"/>
        <v>2018</v>
      </c>
      <c r="F95" s="17">
        <v>43190</v>
      </c>
      <c r="G95" s="72" t="s">
        <v>263</v>
      </c>
      <c r="H95" s="72" t="s">
        <v>264</v>
      </c>
      <c r="I95" s="19">
        <v>14857</v>
      </c>
      <c r="J95" s="18" t="s">
        <v>24</v>
      </c>
      <c r="K95" s="20" t="s">
        <v>98</v>
      </c>
      <c r="L95" s="105">
        <v>3049200</v>
      </c>
      <c r="M95" s="88">
        <v>45016</v>
      </c>
      <c r="N95" s="20">
        <v>60</v>
      </c>
      <c r="O95" s="19">
        <f t="shared" si="7"/>
        <v>100</v>
      </c>
      <c r="P95" s="19" t="str">
        <f t="shared" si="8"/>
        <v>UMUR HABIS</v>
      </c>
    </row>
    <row r="96" spans="1:16" ht="27" x14ac:dyDescent="0.35">
      <c r="A96" s="15">
        <v>90</v>
      </c>
      <c r="B96" s="16" t="s">
        <v>250</v>
      </c>
      <c r="C96" s="19">
        <f t="shared" si="9"/>
        <v>31</v>
      </c>
      <c r="D96" s="19">
        <f t="shared" si="10"/>
        <v>3</v>
      </c>
      <c r="E96" s="19">
        <f t="shared" si="11"/>
        <v>2018</v>
      </c>
      <c r="F96" s="17">
        <v>43190</v>
      </c>
      <c r="G96" s="72" t="s">
        <v>265</v>
      </c>
      <c r="H96" s="72" t="s">
        <v>266</v>
      </c>
      <c r="I96" s="19">
        <v>14858</v>
      </c>
      <c r="J96" s="18" t="s">
        <v>24</v>
      </c>
      <c r="K96" s="20" t="s">
        <v>161</v>
      </c>
      <c r="L96" s="105">
        <v>3049200</v>
      </c>
      <c r="M96" s="88">
        <v>45016</v>
      </c>
      <c r="N96" s="20">
        <v>60</v>
      </c>
      <c r="O96" s="19">
        <f t="shared" si="7"/>
        <v>100</v>
      </c>
      <c r="P96" s="19" t="str">
        <f t="shared" si="8"/>
        <v>UMUR HABIS</v>
      </c>
    </row>
    <row r="97" spans="1:16" ht="27" x14ac:dyDescent="0.35">
      <c r="A97" s="15">
        <v>91</v>
      </c>
      <c r="B97" s="16" t="s">
        <v>250</v>
      </c>
      <c r="C97" s="19">
        <f t="shared" si="9"/>
        <v>31</v>
      </c>
      <c r="D97" s="19">
        <f t="shared" si="10"/>
        <v>3</v>
      </c>
      <c r="E97" s="19">
        <f t="shared" si="11"/>
        <v>2018</v>
      </c>
      <c r="F97" s="17">
        <v>43190</v>
      </c>
      <c r="G97" s="72" t="s">
        <v>267</v>
      </c>
      <c r="H97" s="72" t="s">
        <v>268</v>
      </c>
      <c r="I97" s="19">
        <v>14859</v>
      </c>
      <c r="J97" s="18" t="s">
        <v>24</v>
      </c>
      <c r="K97" s="20" t="s">
        <v>38</v>
      </c>
      <c r="L97" s="105">
        <v>3049200</v>
      </c>
      <c r="M97" s="88">
        <v>45016</v>
      </c>
      <c r="N97" s="20">
        <v>60</v>
      </c>
      <c r="O97" s="19">
        <f t="shared" si="7"/>
        <v>100</v>
      </c>
      <c r="P97" s="19" t="str">
        <f t="shared" si="8"/>
        <v>UMUR HABIS</v>
      </c>
    </row>
    <row r="98" spans="1:16" ht="27" x14ac:dyDescent="0.35">
      <c r="A98" s="15">
        <v>92</v>
      </c>
      <c r="B98" s="16" t="s">
        <v>250</v>
      </c>
      <c r="C98" s="19">
        <f t="shared" si="9"/>
        <v>31</v>
      </c>
      <c r="D98" s="19">
        <f t="shared" si="10"/>
        <v>3</v>
      </c>
      <c r="E98" s="19">
        <f t="shared" si="11"/>
        <v>2018</v>
      </c>
      <c r="F98" s="17">
        <v>43190</v>
      </c>
      <c r="G98" s="72" t="s">
        <v>269</v>
      </c>
      <c r="H98" s="72" t="s">
        <v>270</v>
      </c>
      <c r="I98" s="19">
        <v>14860</v>
      </c>
      <c r="J98" s="18" t="s">
        <v>24</v>
      </c>
      <c r="K98" s="20" t="s">
        <v>271</v>
      </c>
      <c r="L98" s="105">
        <v>3049200</v>
      </c>
      <c r="M98" s="88">
        <v>45016</v>
      </c>
      <c r="N98" s="20">
        <v>60</v>
      </c>
      <c r="O98" s="19">
        <f t="shared" si="7"/>
        <v>100</v>
      </c>
      <c r="P98" s="19" t="str">
        <f t="shared" si="8"/>
        <v>UMUR HABIS</v>
      </c>
    </row>
    <row r="99" spans="1:16" ht="27" x14ac:dyDescent="0.35">
      <c r="A99" s="15">
        <v>93</v>
      </c>
      <c r="B99" s="16" t="s">
        <v>272</v>
      </c>
      <c r="C99" s="19">
        <f t="shared" si="9"/>
        <v>25</v>
      </c>
      <c r="D99" s="19">
        <f t="shared" si="10"/>
        <v>4</v>
      </c>
      <c r="E99" s="19">
        <f t="shared" si="11"/>
        <v>2019</v>
      </c>
      <c r="F99" s="17">
        <v>43580</v>
      </c>
      <c r="G99" s="72" t="s">
        <v>273</v>
      </c>
      <c r="H99" s="72" t="s">
        <v>274</v>
      </c>
      <c r="I99" s="19">
        <v>14862</v>
      </c>
      <c r="J99" s="18" t="s">
        <v>24</v>
      </c>
      <c r="K99" s="20" t="s">
        <v>275</v>
      </c>
      <c r="L99" s="105">
        <v>3674000</v>
      </c>
      <c r="M99" s="88">
        <v>45407</v>
      </c>
      <c r="N99" s="20">
        <v>60</v>
      </c>
      <c r="O99" s="19">
        <f t="shared" si="7"/>
        <v>87</v>
      </c>
      <c r="P99" s="19" t="str">
        <f t="shared" si="8"/>
        <v>UMUR HABIS</v>
      </c>
    </row>
    <row r="100" spans="1:16" ht="27" x14ac:dyDescent="0.35">
      <c r="A100" s="15">
        <v>94</v>
      </c>
      <c r="B100" s="16" t="s">
        <v>272</v>
      </c>
      <c r="C100" s="19">
        <f t="shared" si="9"/>
        <v>25</v>
      </c>
      <c r="D100" s="19">
        <f t="shared" si="10"/>
        <v>4</v>
      </c>
      <c r="E100" s="19">
        <f t="shared" si="11"/>
        <v>2019</v>
      </c>
      <c r="F100" s="17">
        <v>43580</v>
      </c>
      <c r="G100" s="72" t="s">
        <v>276</v>
      </c>
      <c r="H100" s="72" t="s">
        <v>277</v>
      </c>
      <c r="I100" s="19">
        <v>14863</v>
      </c>
      <c r="J100" s="18" t="s">
        <v>24</v>
      </c>
      <c r="K100" s="20" t="s">
        <v>275</v>
      </c>
      <c r="L100" s="105">
        <v>3674000</v>
      </c>
      <c r="M100" s="88">
        <v>45407</v>
      </c>
      <c r="N100" s="20">
        <v>60</v>
      </c>
      <c r="O100" s="19">
        <f t="shared" si="7"/>
        <v>87</v>
      </c>
      <c r="P100" s="19" t="str">
        <f t="shared" si="8"/>
        <v>UMUR HABIS</v>
      </c>
    </row>
    <row r="101" spans="1:16" ht="27" x14ac:dyDescent="0.35">
      <c r="A101" s="15">
        <v>95</v>
      </c>
      <c r="B101" s="16" t="s">
        <v>278</v>
      </c>
      <c r="C101" s="19">
        <f t="shared" si="9"/>
        <v>25</v>
      </c>
      <c r="D101" s="19">
        <f t="shared" si="10"/>
        <v>4</v>
      </c>
      <c r="E101" s="19">
        <f t="shared" si="11"/>
        <v>2019</v>
      </c>
      <c r="F101" s="17">
        <v>43580</v>
      </c>
      <c r="G101" s="72" t="s">
        <v>279</v>
      </c>
      <c r="H101" s="72" t="s">
        <v>280</v>
      </c>
      <c r="I101" s="19">
        <v>14864</v>
      </c>
      <c r="J101" s="18" t="s">
        <v>24</v>
      </c>
      <c r="K101" s="20" t="s">
        <v>89</v>
      </c>
      <c r="L101" s="105">
        <v>4018410</v>
      </c>
      <c r="M101" s="88">
        <v>45407</v>
      </c>
      <c r="N101" s="20">
        <v>60</v>
      </c>
      <c r="O101" s="19">
        <f t="shared" si="7"/>
        <v>87</v>
      </c>
      <c r="P101" s="19" t="str">
        <f t="shared" si="8"/>
        <v>UMUR HABIS</v>
      </c>
    </row>
    <row r="102" spans="1:16" ht="27" x14ac:dyDescent="0.35">
      <c r="A102" s="15">
        <v>96</v>
      </c>
      <c r="B102" s="16" t="s">
        <v>278</v>
      </c>
      <c r="C102" s="19">
        <f t="shared" si="9"/>
        <v>25</v>
      </c>
      <c r="D102" s="19">
        <f t="shared" si="10"/>
        <v>4</v>
      </c>
      <c r="E102" s="19">
        <f t="shared" si="11"/>
        <v>2019</v>
      </c>
      <c r="F102" s="17">
        <v>43580</v>
      </c>
      <c r="G102" s="72" t="s">
        <v>281</v>
      </c>
      <c r="H102" s="72" t="s">
        <v>282</v>
      </c>
      <c r="I102" s="19">
        <v>14865</v>
      </c>
      <c r="J102" s="18" t="s">
        <v>24</v>
      </c>
      <c r="K102" s="20" t="s">
        <v>283</v>
      </c>
      <c r="L102" s="105">
        <v>4018410</v>
      </c>
      <c r="M102" s="88">
        <v>45407</v>
      </c>
      <c r="N102" s="20">
        <v>60</v>
      </c>
      <c r="O102" s="19">
        <f t="shared" si="7"/>
        <v>87</v>
      </c>
      <c r="P102" s="19" t="str">
        <f t="shared" si="8"/>
        <v>UMUR HABIS</v>
      </c>
    </row>
    <row r="103" spans="1:16" ht="27" x14ac:dyDescent="0.35">
      <c r="A103" s="15">
        <v>97</v>
      </c>
      <c r="B103" s="16" t="s">
        <v>272</v>
      </c>
      <c r="C103" s="19">
        <f t="shared" si="9"/>
        <v>29</v>
      </c>
      <c r="D103" s="19">
        <f t="shared" si="10"/>
        <v>4</v>
      </c>
      <c r="E103" s="19">
        <f t="shared" si="11"/>
        <v>2019</v>
      </c>
      <c r="F103" s="17">
        <v>43584</v>
      </c>
      <c r="G103" s="72" t="s">
        <v>284</v>
      </c>
      <c r="H103" s="72" t="s">
        <v>285</v>
      </c>
      <c r="I103" s="19">
        <v>14866</v>
      </c>
      <c r="J103" s="18" t="s">
        <v>24</v>
      </c>
      <c r="K103" s="20" t="s">
        <v>275</v>
      </c>
      <c r="L103" s="105">
        <v>3674000</v>
      </c>
      <c r="M103" s="88">
        <v>45411</v>
      </c>
      <c r="N103" s="20">
        <v>60</v>
      </c>
      <c r="O103" s="19">
        <f t="shared" ref="O103:O122" si="12">IF(F103="","",ROUND((($O$4-F103)*12/365),0))</f>
        <v>87</v>
      </c>
      <c r="P103" s="19" t="str">
        <f t="shared" ref="P103:P122" si="13">IF(F103="","",IF(O103&gt;=N103,"UMUR HABIS",N103-O103))</f>
        <v>UMUR HABIS</v>
      </c>
    </row>
    <row r="104" spans="1:16" ht="27" x14ac:dyDescent="0.35">
      <c r="A104" s="15">
        <v>98</v>
      </c>
      <c r="B104" s="16" t="s">
        <v>272</v>
      </c>
      <c r="C104" s="19">
        <f t="shared" si="9"/>
        <v>29</v>
      </c>
      <c r="D104" s="19">
        <f t="shared" si="10"/>
        <v>4</v>
      </c>
      <c r="E104" s="19">
        <f t="shared" si="11"/>
        <v>2019</v>
      </c>
      <c r="F104" s="17">
        <v>43584</v>
      </c>
      <c r="G104" s="72" t="s">
        <v>286</v>
      </c>
      <c r="H104" s="72" t="s">
        <v>287</v>
      </c>
      <c r="I104" s="19">
        <v>14867</v>
      </c>
      <c r="J104" s="18" t="s">
        <v>24</v>
      </c>
      <c r="K104" s="20" t="s">
        <v>275</v>
      </c>
      <c r="L104" s="105">
        <v>3674000</v>
      </c>
      <c r="M104" s="88">
        <v>45411</v>
      </c>
      <c r="N104" s="20">
        <v>60</v>
      </c>
      <c r="O104" s="19">
        <f t="shared" si="12"/>
        <v>87</v>
      </c>
      <c r="P104" s="19" t="str">
        <f t="shared" si="13"/>
        <v>UMUR HABIS</v>
      </c>
    </row>
    <row r="105" spans="1:16" ht="27" x14ac:dyDescent="0.35">
      <c r="A105" s="15">
        <v>99</v>
      </c>
      <c r="B105" s="16" t="s">
        <v>288</v>
      </c>
      <c r="C105" s="19">
        <f t="shared" si="9"/>
        <v>27</v>
      </c>
      <c r="D105" s="19">
        <f t="shared" si="10"/>
        <v>3</v>
      </c>
      <c r="E105" s="19">
        <f t="shared" si="11"/>
        <v>2020</v>
      </c>
      <c r="F105" s="17">
        <v>43917</v>
      </c>
      <c r="G105" s="72" t="s">
        <v>289</v>
      </c>
      <c r="H105" s="72" t="s">
        <v>290</v>
      </c>
      <c r="I105" s="19">
        <v>14885</v>
      </c>
      <c r="J105" s="18" t="s">
        <v>24</v>
      </c>
      <c r="K105" s="20" t="s">
        <v>56</v>
      </c>
      <c r="L105" s="105">
        <v>9688404</v>
      </c>
      <c r="M105" s="88">
        <v>45012</v>
      </c>
      <c r="N105" s="20">
        <v>36</v>
      </c>
      <c r="O105" s="19">
        <f t="shared" si="12"/>
        <v>76</v>
      </c>
      <c r="P105" s="19" t="str">
        <f t="shared" si="13"/>
        <v>UMUR HABIS</v>
      </c>
    </row>
    <row r="106" spans="1:16" ht="27" x14ac:dyDescent="0.35">
      <c r="A106" s="15">
        <v>100</v>
      </c>
      <c r="B106" s="16" t="s">
        <v>291</v>
      </c>
      <c r="C106" s="19">
        <f t="shared" si="9"/>
        <v>31</v>
      </c>
      <c r="D106" s="19">
        <f t="shared" si="10"/>
        <v>3</v>
      </c>
      <c r="E106" s="19">
        <f t="shared" si="11"/>
        <v>2020</v>
      </c>
      <c r="F106" s="17">
        <v>43921</v>
      </c>
      <c r="G106" s="72" t="s">
        <v>81</v>
      </c>
      <c r="H106" s="72" t="s">
        <v>82</v>
      </c>
      <c r="I106" s="19">
        <v>14886</v>
      </c>
      <c r="J106" s="18" t="s">
        <v>24</v>
      </c>
      <c r="K106" s="20" t="s">
        <v>83</v>
      </c>
      <c r="L106" s="105">
        <v>6160000</v>
      </c>
      <c r="M106" s="88">
        <v>45747</v>
      </c>
      <c r="N106" s="20">
        <v>60</v>
      </c>
      <c r="O106" s="19">
        <f t="shared" si="12"/>
        <v>76</v>
      </c>
      <c r="P106" s="19" t="str">
        <f t="shared" si="13"/>
        <v>UMUR HABIS</v>
      </c>
    </row>
    <row r="107" spans="1:16" ht="27" x14ac:dyDescent="0.35">
      <c r="A107" s="15">
        <v>101</v>
      </c>
      <c r="B107" s="16" t="s">
        <v>291</v>
      </c>
      <c r="C107" s="19">
        <f t="shared" si="9"/>
        <v>31</v>
      </c>
      <c r="D107" s="19">
        <f t="shared" si="10"/>
        <v>3</v>
      </c>
      <c r="E107" s="19">
        <f t="shared" si="11"/>
        <v>2020</v>
      </c>
      <c r="F107" s="17">
        <v>43921</v>
      </c>
      <c r="G107" s="72" t="s">
        <v>84</v>
      </c>
      <c r="H107" s="72" t="s">
        <v>85</v>
      </c>
      <c r="I107" s="19">
        <v>14887</v>
      </c>
      <c r="J107" s="18" t="s">
        <v>24</v>
      </c>
      <c r="K107" s="20" t="s">
        <v>83</v>
      </c>
      <c r="L107" s="105">
        <v>6160000</v>
      </c>
      <c r="M107" s="88">
        <v>45747</v>
      </c>
      <c r="N107" s="20">
        <v>60</v>
      </c>
      <c r="O107" s="19">
        <f t="shared" si="12"/>
        <v>76</v>
      </c>
      <c r="P107" s="19" t="str">
        <f t="shared" si="13"/>
        <v>UMUR HABIS</v>
      </c>
    </row>
    <row r="108" spans="1:16" ht="27" x14ac:dyDescent="0.35">
      <c r="A108" s="15">
        <v>102</v>
      </c>
      <c r="B108" s="16" t="s">
        <v>291</v>
      </c>
      <c r="C108" s="19">
        <f t="shared" si="9"/>
        <v>31</v>
      </c>
      <c r="D108" s="19">
        <f t="shared" si="10"/>
        <v>3</v>
      </c>
      <c r="E108" s="19">
        <f t="shared" si="11"/>
        <v>2020</v>
      </c>
      <c r="F108" s="17">
        <v>43921</v>
      </c>
      <c r="G108" s="72" t="s">
        <v>292</v>
      </c>
      <c r="H108" s="72" t="s">
        <v>293</v>
      </c>
      <c r="I108" s="19">
        <v>14888</v>
      </c>
      <c r="J108" s="18" t="s">
        <v>24</v>
      </c>
      <c r="K108" s="20" t="s">
        <v>60</v>
      </c>
      <c r="L108" s="105">
        <v>6160000</v>
      </c>
      <c r="M108" s="88">
        <v>45747</v>
      </c>
      <c r="N108" s="20">
        <v>60</v>
      </c>
      <c r="O108" s="19">
        <f t="shared" si="12"/>
        <v>76</v>
      </c>
      <c r="P108" s="19" t="str">
        <f t="shared" si="13"/>
        <v>UMUR HABIS</v>
      </c>
    </row>
    <row r="109" spans="1:16" ht="27" x14ac:dyDescent="0.35">
      <c r="A109" s="15">
        <v>103</v>
      </c>
      <c r="B109" s="16" t="s">
        <v>291</v>
      </c>
      <c r="C109" s="19">
        <f t="shared" si="9"/>
        <v>31</v>
      </c>
      <c r="D109" s="19">
        <f t="shared" si="10"/>
        <v>3</v>
      </c>
      <c r="E109" s="19">
        <f t="shared" si="11"/>
        <v>2020</v>
      </c>
      <c r="F109" s="17">
        <v>43921</v>
      </c>
      <c r="G109" s="72" t="s">
        <v>294</v>
      </c>
      <c r="H109" s="72" t="s">
        <v>295</v>
      </c>
      <c r="I109" s="19">
        <v>14889</v>
      </c>
      <c r="J109" s="18" t="s">
        <v>24</v>
      </c>
      <c r="K109" s="20" t="s">
        <v>60</v>
      </c>
      <c r="L109" s="105">
        <v>6160000</v>
      </c>
      <c r="M109" s="88">
        <v>45747</v>
      </c>
      <c r="N109" s="20">
        <v>60</v>
      </c>
      <c r="O109" s="19">
        <f t="shared" si="12"/>
        <v>76</v>
      </c>
      <c r="P109" s="19" t="str">
        <f t="shared" si="13"/>
        <v>UMUR HABIS</v>
      </c>
    </row>
    <row r="110" spans="1:16" ht="27" x14ac:dyDescent="0.35">
      <c r="A110" s="15">
        <v>104</v>
      </c>
      <c r="B110" s="16" t="s">
        <v>291</v>
      </c>
      <c r="C110" s="19">
        <f t="shared" si="9"/>
        <v>31</v>
      </c>
      <c r="D110" s="19">
        <f t="shared" si="10"/>
        <v>3</v>
      </c>
      <c r="E110" s="19">
        <f t="shared" si="11"/>
        <v>2020</v>
      </c>
      <c r="F110" s="17">
        <v>43921</v>
      </c>
      <c r="G110" s="72" t="s">
        <v>296</v>
      </c>
      <c r="H110" s="72" t="s">
        <v>297</v>
      </c>
      <c r="I110" s="19">
        <v>14890</v>
      </c>
      <c r="J110" s="18" t="s">
        <v>24</v>
      </c>
      <c r="K110" s="20" t="s">
        <v>60</v>
      </c>
      <c r="L110" s="105">
        <v>6160000</v>
      </c>
      <c r="M110" s="88">
        <v>45747</v>
      </c>
      <c r="N110" s="20">
        <v>60</v>
      </c>
      <c r="O110" s="19">
        <f t="shared" si="12"/>
        <v>76</v>
      </c>
      <c r="P110" s="19" t="str">
        <f t="shared" si="13"/>
        <v>UMUR HABIS</v>
      </c>
    </row>
    <row r="111" spans="1:16" ht="27" x14ac:dyDescent="0.35">
      <c r="A111" s="15">
        <v>105</v>
      </c>
      <c r="B111" s="16" t="s">
        <v>291</v>
      </c>
      <c r="C111" s="19">
        <f t="shared" si="9"/>
        <v>31</v>
      </c>
      <c r="D111" s="19">
        <f t="shared" si="10"/>
        <v>3</v>
      </c>
      <c r="E111" s="19">
        <f t="shared" si="11"/>
        <v>2020</v>
      </c>
      <c r="F111" s="17">
        <v>43921</v>
      </c>
      <c r="G111" s="72" t="s">
        <v>298</v>
      </c>
      <c r="H111" s="72" t="s">
        <v>299</v>
      </c>
      <c r="I111" s="19">
        <v>14891</v>
      </c>
      <c r="J111" s="18" t="s">
        <v>24</v>
      </c>
      <c r="K111" s="20" t="s">
        <v>60</v>
      </c>
      <c r="L111" s="105">
        <v>6160000</v>
      </c>
      <c r="M111" s="88">
        <v>45747</v>
      </c>
      <c r="N111" s="20">
        <v>60</v>
      </c>
      <c r="O111" s="19">
        <f t="shared" si="12"/>
        <v>76</v>
      </c>
      <c r="P111" s="19" t="str">
        <f t="shared" si="13"/>
        <v>UMUR HABIS</v>
      </c>
    </row>
    <row r="112" spans="1:16" ht="27" x14ac:dyDescent="0.35">
      <c r="A112" s="15">
        <v>106</v>
      </c>
      <c r="B112" s="16" t="s">
        <v>291</v>
      </c>
      <c r="C112" s="19">
        <f t="shared" si="9"/>
        <v>31</v>
      </c>
      <c r="D112" s="19">
        <f t="shared" si="10"/>
        <v>3</v>
      </c>
      <c r="E112" s="19">
        <f t="shared" si="11"/>
        <v>2020</v>
      </c>
      <c r="F112" s="17">
        <v>43921</v>
      </c>
      <c r="G112" s="72" t="s">
        <v>300</v>
      </c>
      <c r="H112" s="72" t="s">
        <v>301</v>
      </c>
      <c r="I112" s="19">
        <v>14892</v>
      </c>
      <c r="J112" s="18" t="s">
        <v>24</v>
      </c>
      <c r="K112" s="20" t="s">
        <v>60</v>
      </c>
      <c r="L112" s="105">
        <v>6160000</v>
      </c>
      <c r="M112" s="88">
        <v>45747</v>
      </c>
      <c r="N112" s="20">
        <v>60</v>
      </c>
      <c r="O112" s="19">
        <f t="shared" si="12"/>
        <v>76</v>
      </c>
      <c r="P112" s="19" t="str">
        <f t="shared" si="13"/>
        <v>UMUR HABIS</v>
      </c>
    </row>
    <row r="113" spans="1:16" ht="27" x14ac:dyDescent="0.35">
      <c r="A113" s="15">
        <v>107</v>
      </c>
      <c r="B113" s="16" t="s">
        <v>291</v>
      </c>
      <c r="C113" s="19">
        <f t="shared" si="9"/>
        <v>31</v>
      </c>
      <c r="D113" s="19">
        <f t="shared" si="10"/>
        <v>3</v>
      </c>
      <c r="E113" s="19">
        <f t="shared" si="11"/>
        <v>2020</v>
      </c>
      <c r="F113" s="17">
        <v>43921</v>
      </c>
      <c r="G113" s="72" t="s">
        <v>302</v>
      </c>
      <c r="H113" s="72" t="s">
        <v>303</v>
      </c>
      <c r="I113" s="19">
        <v>14893</v>
      </c>
      <c r="J113" s="18" t="s">
        <v>24</v>
      </c>
      <c r="K113" s="20" t="s">
        <v>60</v>
      </c>
      <c r="L113" s="105">
        <v>6160000</v>
      </c>
      <c r="M113" s="88">
        <v>45747</v>
      </c>
      <c r="N113" s="20">
        <v>60</v>
      </c>
      <c r="O113" s="19">
        <f t="shared" si="12"/>
        <v>76</v>
      </c>
      <c r="P113" s="19" t="str">
        <f t="shared" si="13"/>
        <v>UMUR HABIS</v>
      </c>
    </row>
    <row r="114" spans="1:16" ht="27" x14ac:dyDescent="0.35">
      <c r="A114" s="15">
        <v>108</v>
      </c>
      <c r="B114" s="16" t="s">
        <v>304</v>
      </c>
      <c r="C114" s="19">
        <f t="shared" si="9"/>
        <v>27</v>
      </c>
      <c r="D114" s="19">
        <f t="shared" si="10"/>
        <v>5</v>
      </c>
      <c r="E114" s="19">
        <f t="shared" si="11"/>
        <v>2024</v>
      </c>
      <c r="F114" s="17">
        <v>45439</v>
      </c>
      <c r="G114" s="72" t="s">
        <v>305</v>
      </c>
      <c r="H114" s="72" t="s">
        <v>306</v>
      </c>
      <c r="I114" s="19">
        <v>15058</v>
      </c>
      <c r="J114" s="18" t="s">
        <v>24</v>
      </c>
      <c r="K114" s="20" t="s">
        <v>56</v>
      </c>
      <c r="L114" s="105">
        <v>24551998</v>
      </c>
      <c r="M114" s="88">
        <v>47265</v>
      </c>
      <c r="N114" s="20">
        <v>60</v>
      </c>
      <c r="O114" s="19">
        <f t="shared" si="12"/>
        <v>26</v>
      </c>
      <c r="P114" s="19">
        <f t="shared" si="13"/>
        <v>34</v>
      </c>
    </row>
    <row r="115" spans="1:16" ht="27" x14ac:dyDescent="0.35">
      <c r="A115" s="15">
        <v>109</v>
      </c>
      <c r="B115" s="16" t="s">
        <v>307</v>
      </c>
      <c r="C115" s="19">
        <f t="shared" si="9"/>
        <v>19</v>
      </c>
      <c r="D115" s="19">
        <f t="shared" si="10"/>
        <v>8</v>
      </c>
      <c r="E115" s="19">
        <f t="shared" si="11"/>
        <v>2024</v>
      </c>
      <c r="F115" s="17">
        <v>45523</v>
      </c>
      <c r="G115" s="72" t="s">
        <v>308</v>
      </c>
      <c r="H115" s="72" t="s">
        <v>309</v>
      </c>
      <c r="I115" s="19">
        <v>15062</v>
      </c>
      <c r="J115" s="18" t="s">
        <v>24</v>
      </c>
      <c r="K115" s="20" t="s">
        <v>89</v>
      </c>
      <c r="L115" s="105">
        <v>3402519.63</v>
      </c>
      <c r="M115" s="88">
        <v>47349</v>
      </c>
      <c r="N115" s="20">
        <v>60</v>
      </c>
      <c r="O115" s="19">
        <f t="shared" si="12"/>
        <v>23</v>
      </c>
      <c r="P115" s="19">
        <f t="shared" si="13"/>
        <v>37</v>
      </c>
    </row>
    <row r="116" spans="1:16" ht="27" x14ac:dyDescent="0.35">
      <c r="A116" s="15">
        <v>110</v>
      </c>
      <c r="B116" s="16" t="s">
        <v>307</v>
      </c>
      <c r="C116" s="19">
        <f t="shared" si="9"/>
        <v>19</v>
      </c>
      <c r="D116" s="19">
        <f t="shared" si="10"/>
        <v>8</v>
      </c>
      <c r="E116" s="19">
        <f t="shared" si="11"/>
        <v>2024</v>
      </c>
      <c r="F116" s="17">
        <v>45523</v>
      </c>
      <c r="G116" s="72" t="s">
        <v>310</v>
      </c>
      <c r="H116" s="72" t="s">
        <v>311</v>
      </c>
      <c r="I116" s="19">
        <v>15063</v>
      </c>
      <c r="J116" s="18" t="s">
        <v>24</v>
      </c>
      <c r="K116" s="20" t="s">
        <v>89</v>
      </c>
      <c r="L116" s="105">
        <v>3402519.63</v>
      </c>
      <c r="M116" s="88">
        <v>47349</v>
      </c>
      <c r="N116" s="20">
        <v>60</v>
      </c>
      <c r="O116" s="19">
        <f t="shared" si="12"/>
        <v>23</v>
      </c>
      <c r="P116" s="19">
        <f t="shared" si="13"/>
        <v>37</v>
      </c>
    </row>
    <row r="117" spans="1:16" ht="27" x14ac:dyDescent="0.35">
      <c r="A117" s="15">
        <v>111</v>
      </c>
      <c r="B117" s="16" t="s">
        <v>307</v>
      </c>
      <c r="C117" s="19">
        <f t="shared" si="9"/>
        <v>19</v>
      </c>
      <c r="D117" s="19">
        <f t="shared" si="10"/>
        <v>8</v>
      </c>
      <c r="E117" s="19">
        <f t="shared" si="11"/>
        <v>2024</v>
      </c>
      <c r="F117" s="17">
        <v>45523</v>
      </c>
      <c r="G117" s="72" t="s">
        <v>312</v>
      </c>
      <c r="H117" s="72" t="s">
        <v>313</v>
      </c>
      <c r="I117" s="19">
        <v>15064</v>
      </c>
      <c r="J117" s="18" t="s">
        <v>24</v>
      </c>
      <c r="K117" s="20" t="s">
        <v>60</v>
      </c>
      <c r="L117" s="105">
        <v>3402519.63</v>
      </c>
      <c r="M117" s="88">
        <v>47349</v>
      </c>
      <c r="N117" s="20">
        <v>60</v>
      </c>
      <c r="O117" s="19">
        <f t="shared" si="12"/>
        <v>23</v>
      </c>
      <c r="P117" s="19">
        <f t="shared" si="13"/>
        <v>37</v>
      </c>
    </row>
    <row r="118" spans="1:16" ht="27" x14ac:dyDescent="0.35">
      <c r="A118" s="15">
        <v>112</v>
      </c>
      <c r="B118" s="16" t="s">
        <v>314</v>
      </c>
      <c r="C118" s="19">
        <f t="shared" si="9"/>
        <v>19</v>
      </c>
      <c r="D118" s="19">
        <f t="shared" si="10"/>
        <v>8</v>
      </c>
      <c r="E118" s="19">
        <f t="shared" si="11"/>
        <v>2024</v>
      </c>
      <c r="F118" s="17">
        <v>45523</v>
      </c>
      <c r="G118" s="72" t="s">
        <v>315</v>
      </c>
      <c r="H118" s="72" t="s">
        <v>316</v>
      </c>
      <c r="I118" s="19">
        <v>15065</v>
      </c>
      <c r="J118" s="18" t="s">
        <v>24</v>
      </c>
      <c r="K118" s="20" t="s">
        <v>317</v>
      </c>
      <c r="L118" s="105">
        <v>5879670</v>
      </c>
      <c r="M118" s="88">
        <v>47349</v>
      </c>
      <c r="N118" s="20">
        <v>60</v>
      </c>
      <c r="O118" s="19">
        <f t="shared" si="12"/>
        <v>23</v>
      </c>
      <c r="P118" s="19">
        <f t="shared" si="13"/>
        <v>37</v>
      </c>
    </row>
    <row r="119" spans="1:16" ht="27" x14ac:dyDescent="0.35">
      <c r="A119" s="15">
        <v>113</v>
      </c>
      <c r="B119" s="16" t="s">
        <v>318</v>
      </c>
      <c r="C119" s="19">
        <f t="shared" si="9"/>
        <v>19</v>
      </c>
      <c r="D119" s="19">
        <f t="shared" si="10"/>
        <v>8</v>
      </c>
      <c r="E119" s="19">
        <f t="shared" si="11"/>
        <v>2024</v>
      </c>
      <c r="F119" s="17">
        <v>45523</v>
      </c>
      <c r="G119" s="72" t="s">
        <v>319</v>
      </c>
      <c r="H119" s="72" t="s">
        <v>320</v>
      </c>
      <c r="I119" s="19">
        <v>15066</v>
      </c>
      <c r="J119" s="18" t="s">
        <v>24</v>
      </c>
      <c r="K119" s="20" t="s">
        <v>321</v>
      </c>
      <c r="L119" s="105">
        <v>8877780</v>
      </c>
      <c r="M119" s="88">
        <v>47349</v>
      </c>
      <c r="N119" s="20">
        <v>60</v>
      </c>
      <c r="O119" s="19">
        <f t="shared" si="12"/>
        <v>23</v>
      </c>
      <c r="P119" s="19">
        <f t="shared" si="13"/>
        <v>37</v>
      </c>
    </row>
    <row r="120" spans="1:16" ht="27" x14ac:dyDescent="0.35">
      <c r="A120" s="15">
        <v>114</v>
      </c>
      <c r="B120" s="16" t="s">
        <v>318</v>
      </c>
      <c r="C120" s="19">
        <f t="shared" si="9"/>
        <v>19</v>
      </c>
      <c r="D120" s="19">
        <f t="shared" si="10"/>
        <v>8</v>
      </c>
      <c r="E120" s="19">
        <f t="shared" si="11"/>
        <v>2024</v>
      </c>
      <c r="F120" s="17">
        <v>45523</v>
      </c>
      <c r="G120" s="72" t="s">
        <v>322</v>
      </c>
      <c r="H120" s="72" t="s">
        <v>323</v>
      </c>
      <c r="I120" s="19">
        <v>15067</v>
      </c>
      <c r="J120" s="18" t="s">
        <v>24</v>
      </c>
      <c r="K120" s="20" t="s">
        <v>321</v>
      </c>
      <c r="L120" s="105">
        <v>8877780</v>
      </c>
      <c r="M120" s="88">
        <v>47349</v>
      </c>
      <c r="N120" s="20">
        <v>60</v>
      </c>
      <c r="O120" s="19">
        <f t="shared" si="12"/>
        <v>23</v>
      </c>
      <c r="P120" s="19">
        <f t="shared" si="13"/>
        <v>37</v>
      </c>
    </row>
    <row r="121" spans="1:16" ht="27" x14ac:dyDescent="0.35">
      <c r="A121" s="15">
        <v>115</v>
      </c>
      <c r="B121" s="16" t="s">
        <v>324</v>
      </c>
      <c r="C121" s="19">
        <f t="shared" si="9"/>
        <v>4</v>
      </c>
      <c r="D121" s="19">
        <f t="shared" si="10"/>
        <v>6</v>
      </c>
      <c r="E121" s="19">
        <f t="shared" si="11"/>
        <v>2003</v>
      </c>
      <c r="F121" s="17">
        <v>37776</v>
      </c>
      <c r="G121" s="72" t="s">
        <v>325</v>
      </c>
      <c r="H121" s="72" t="s">
        <v>326</v>
      </c>
      <c r="I121" s="19">
        <v>15085</v>
      </c>
      <c r="J121" s="18" t="s">
        <v>24</v>
      </c>
      <c r="K121" s="20" t="s">
        <v>195</v>
      </c>
      <c r="L121" s="105">
        <v>3300000</v>
      </c>
      <c r="M121" s="88">
        <v>39603</v>
      </c>
      <c r="N121" s="20">
        <v>60</v>
      </c>
      <c r="O121" s="19">
        <f t="shared" si="12"/>
        <v>278</v>
      </c>
      <c r="P121" s="19" t="str">
        <f t="shared" si="13"/>
        <v>UMUR HABIS</v>
      </c>
    </row>
    <row r="122" spans="1:16" ht="27" x14ac:dyDescent="0.35">
      <c r="A122" s="15">
        <v>116</v>
      </c>
      <c r="B122" s="16" t="s">
        <v>327</v>
      </c>
      <c r="C122" s="19">
        <f t="shared" si="9"/>
        <v>31</v>
      </c>
      <c r="D122" s="19">
        <f t="shared" si="10"/>
        <v>7</v>
      </c>
      <c r="E122" s="19">
        <f t="shared" si="11"/>
        <v>2019</v>
      </c>
      <c r="F122" s="17">
        <v>43677</v>
      </c>
      <c r="G122" s="72" t="s">
        <v>328</v>
      </c>
      <c r="H122" s="72" t="s">
        <v>329</v>
      </c>
      <c r="I122" s="19">
        <v>15095</v>
      </c>
      <c r="J122" s="18" t="s">
        <v>24</v>
      </c>
      <c r="K122" s="20" t="s">
        <v>195</v>
      </c>
      <c r="L122" s="105">
        <v>19800000</v>
      </c>
      <c r="M122" s="88">
        <v>45504</v>
      </c>
      <c r="N122" s="20">
        <v>60</v>
      </c>
      <c r="O122" s="19">
        <f t="shared" si="12"/>
        <v>84</v>
      </c>
      <c r="P122" s="19" t="str">
        <f t="shared" si="13"/>
        <v>UMUR HABIS</v>
      </c>
    </row>
    <row r="123" spans="1:16" x14ac:dyDescent="0.35">
      <c r="A123" s="15"/>
      <c r="B123" s="16"/>
      <c r="C123" s="32"/>
      <c r="D123" s="32"/>
      <c r="E123" s="32"/>
      <c r="F123" s="17"/>
      <c r="G123" s="72"/>
      <c r="H123" s="72"/>
      <c r="I123" s="19"/>
      <c r="J123" s="18"/>
      <c r="K123" s="20"/>
      <c r="L123" s="105"/>
      <c r="M123" s="88"/>
      <c r="N123" s="93"/>
      <c r="O123" s="32"/>
      <c r="P123" s="32"/>
    </row>
    <row r="124" spans="1:16" x14ac:dyDescent="0.35">
      <c r="A124" s="9"/>
      <c r="B124" s="16"/>
      <c r="C124" s="32"/>
      <c r="D124" s="32"/>
      <c r="E124" s="32"/>
      <c r="F124" s="17"/>
      <c r="G124" s="72"/>
      <c r="H124" s="72"/>
      <c r="I124" s="19"/>
      <c r="J124" s="18"/>
      <c r="K124" s="20"/>
      <c r="L124" s="105"/>
      <c r="M124" s="88"/>
      <c r="N124" s="93"/>
      <c r="O124" s="32"/>
      <c r="P124" s="32"/>
    </row>
    <row r="125" spans="1:16" x14ac:dyDescent="0.35">
      <c r="A125" s="9" t="s">
        <v>330</v>
      </c>
      <c r="B125" s="10" t="s">
        <v>331</v>
      </c>
      <c r="C125" s="30"/>
      <c r="D125" s="30"/>
      <c r="E125" s="30"/>
      <c r="F125" s="17"/>
      <c r="G125" s="72"/>
      <c r="H125" s="72"/>
      <c r="I125" s="19"/>
      <c r="J125" s="18"/>
      <c r="K125" s="20"/>
      <c r="L125" s="105"/>
      <c r="M125" s="88"/>
      <c r="N125" s="93"/>
      <c r="O125" s="32"/>
      <c r="P125" s="32"/>
    </row>
    <row r="126" spans="1:16" ht="27" x14ac:dyDescent="0.35">
      <c r="A126" s="15">
        <v>1</v>
      </c>
      <c r="B126" s="16" t="s">
        <v>332</v>
      </c>
      <c r="C126" s="19">
        <f t="shared" ref="C126:C175" si="14">DAY(F126)</f>
        <v>27</v>
      </c>
      <c r="D126" s="19">
        <f t="shared" ref="D126:D175" si="15">MONTH(F126)</f>
        <v>6</v>
      </c>
      <c r="E126" s="19">
        <f t="shared" ref="E126:E175" si="16">YEAR(F126)</f>
        <v>2015</v>
      </c>
      <c r="F126" s="17">
        <v>42182</v>
      </c>
      <c r="G126" s="72" t="s">
        <v>333</v>
      </c>
      <c r="H126" s="72" t="s">
        <v>334</v>
      </c>
      <c r="I126" s="19">
        <v>14563</v>
      </c>
      <c r="J126" s="18" t="s">
        <v>113</v>
      </c>
      <c r="K126" s="20" t="s">
        <v>114</v>
      </c>
      <c r="L126" s="105">
        <v>0</v>
      </c>
      <c r="M126" s="88">
        <v>44009</v>
      </c>
      <c r="N126" s="20">
        <v>60</v>
      </c>
      <c r="O126" s="19">
        <f t="shared" ref="O126:O157" si="17">IF(F126="","",ROUND((($O$4-F126)*12/365),0))</f>
        <v>133</v>
      </c>
      <c r="P126" s="19" t="str">
        <f t="shared" ref="P126:P157" si="18">IF(F126="","",IF(O126&gt;=N126,"UMUR HABIS",N126-O126))</f>
        <v>UMUR HABIS</v>
      </c>
    </row>
    <row r="127" spans="1:16" ht="27" x14ac:dyDescent="0.35">
      <c r="A127" s="15">
        <f>+A126+1</f>
        <v>2</v>
      </c>
      <c r="B127" s="16" t="s">
        <v>335</v>
      </c>
      <c r="C127" s="19">
        <f t="shared" si="14"/>
        <v>20</v>
      </c>
      <c r="D127" s="19">
        <f t="shared" si="15"/>
        <v>5</v>
      </c>
      <c r="E127" s="19">
        <f t="shared" si="16"/>
        <v>2016</v>
      </c>
      <c r="F127" s="17">
        <v>42510</v>
      </c>
      <c r="G127" s="72" t="s">
        <v>336</v>
      </c>
      <c r="H127" s="72" t="s">
        <v>337</v>
      </c>
      <c r="I127" s="19">
        <v>14569</v>
      </c>
      <c r="J127" s="18" t="s">
        <v>24</v>
      </c>
      <c r="K127" s="20" t="s">
        <v>271</v>
      </c>
      <c r="L127" s="105">
        <v>13500000</v>
      </c>
      <c r="M127" s="88">
        <v>44336</v>
      </c>
      <c r="N127" s="20">
        <v>60</v>
      </c>
      <c r="O127" s="19">
        <f t="shared" si="17"/>
        <v>122</v>
      </c>
      <c r="P127" s="19" t="str">
        <f t="shared" si="18"/>
        <v>UMUR HABIS</v>
      </c>
    </row>
    <row r="128" spans="1:16" ht="27" x14ac:dyDescent="0.35">
      <c r="A128" s="15">
        <f t="shared" ref="A128:A176" si="19">+A127+1</f>
        <v>3</v>
      </c>
      <c r="B128" s="16" t="s">
        <v>335</v>
      </c>
      <c r="C128" s="19">
        <f t="shared" si="14"/>
        <v>20</v>
      </c>
      <c r="D128" s="19">
        <f t="shared" si="15"/>
        <v>5</v>
      </c>
      <c r="E128" s="19">
        <f t="shared" si="16"/>
        <v>2016</v>
      </c>
      <c r="F128" s="17">
        <v>42510</v>
      </c>
      <c r="G128" s="72" t="s">
        <v>338</v>
      </c>
      <c r="H128" s="72" t="s">
        <v>339</v>
      </c>
      <c r="I128" s="19">
        <v>14570</v>
      </c>
      <c r="J128" s="18" t="s">
        <v>113</v>
      </c>
      <c r="K128" s="20" t="s">
        <v>114</v>
      </c>
      <c r="L128" s="105">
        <v>0</v>
      </c>
      <c r="M128" s="88">
        <v>44336</v>
      </c>
      <c r="N128" s="20">
        <v>60</v>
      </c>
      <c r="O128" s="19">
        <f t="shared" si="17"/>
        <v>122</v>
      </c>
      <c r="P128" s="19" t="str">
        <f t="shared" si="18"/>
        <v>UMUR HABIS</v>
      </c>
    </row>
    <row r="129" spans="1:16" ht="27" x14ac:dyDescent="0.35">
      <c r="A129" s="15">
        <f t="shared" si="19"/>
        <v>4</v>
      </c>
      <c r="B129" s="16" t="s">
        <v>335</v>
      </c>
      <c r="C129" s="19">
        <f t="shared" si="14"/>
        <v>7</v>
      </c>
      <c r="D129" s="19">
        <f t="shared" si="15"/>
        <v>6</v>
      </c>
      <c r="E129" s="19">
        <f t="shared" si="16"/>
        <v>2016</v>
      </c>
      <c r="F129" s="17">
        <v>42528</v>
      </c>
      <c r="G129" s="72" t="s">
        <v>340</v>
      </c>
      <c r="H129" s="72" t="s">
        <v>341</v>
      </c>
      <c r="I129" s="19">
        <v>14571</v>
      </c>
      <c r="J129" s="18" t="s">
        <v>24</v>
      </c>
      <c r="K129" s="20" t="s">
        <v>76</v>
      </c>
      <c r="L129" s="105">
        <v>13500000</v>
      </c>
      <c r="M129" s="88">
        <v>44354</v>
      </c>
      <c r="N129" s="20">
        <v>60</v>
      </c>
      <c r="O129" s="19">
        <f t="shared" si="17"/>
        <v>122</v>
      </c>
      <c r="P129" s="19" t="str">
        <f t="shared" si="18"/>
        <v>UMUR HABIS</v>
      </c>
    </row>
    <row r="130" spans="1:16" ht="27" x14ac:dyDescent="0.35">
      <c r="A130" s="15">
        <f t="shared" si="19"/>
        <v>5</v>
      </c>
      <c r="B130" s="16" t="s">
        <v>335</v>
      </c>
      <c r="C130" s="19">
        <f t="shared" si="14"/>
        <v>7</v>
      </c>
      <c r="D130" s="19">
        <f t="shared" si="15"/>
        <v>6</v>
      </c>
      <c r="E130" s="19">
        <f t="shared" si="16"/>
        <v>2016</v>
      </c>
      <c r="F130" s="17">
        <v>42528</v>
      </c>
      <c r="G130" s="72" t="s">
        <v>342</v>
      </c>
      <c r="H130" s="72" t="s">
        <v>343</v>
      </c>
      <c r="I130" s="19">
        <v>14572</v>
      </c>
      <c r="J130" s="18" t="s">
        <v>24</v>
      </c>
      <c r="K130" s="20" t="s">
        <v>271</v>
      </c>
      <c r="L130" s="105">
        <v>13500000</v>
      </c>
      <c r="M130" s="88">
        <v>44354</v>
      </c>
      <c r="N130" s="20">
        <v>60</v>
      </c>
      <c r="O130" s="19">
        <f t="shared" si="17"/>
        <v>122</v>
      </c>
      <c r="P130" s="19" t="str">
        <f t="shared" si="18"/>
        <v>UMUR HABIS</v>
      </c>
    </row>
    <row r="131" spans="1:16" ht="27" x14ac:dyDescent="0.35">
      <c r="A131" s="15">
        <f t="shared" si="19"/>
        <v>6</v>
      </c>
      <c r="B131" s="16" t="s">
        <v>344</v>
      </c>
      <c r="C131" s="19">
        <f t="shared" si="14"/>
        <v>15</v>
      </c>
      <c r="D131" s="19">
        <f t="shared" si="15"/>
        <v>9</v>
      </c>
      <c r="E131" s="19">
        <f t="shared" si="16"/>
        <v>2016</v>
      </c>
      <c r="F131" s="17">
        <v>42628</v>
      </c>
      <c r="G131" s="72" t="s">
        <v>345</v>
      </c>
      <c r="H131" s="72" t="s">
        <v>346</v>
      </c>
      <c r="I131" s="19">
        <v>14577</v>
      </c>
      <c r="J131" s="18" t="s">
        <v>24</v>
      </c>
      <c r="K131" s="20" t="s">
        <v>76</v>
      </c>
      <c r="L131" s="105">
        <v>14685279</v>
      </c>
      <c r="M131" s="88">
        <v>44454</v>
      </c>
      <c r="N131" s="20">
        <v>60</v>
      </c>
      <c r="O131" s="19">
        <f t="shared" si="17"/>
        <v>119</v>
      </c>
      <c r="P131" s="19" t="str">
        <f t="shared" si="18"/>
        <v>UMUR HABIS</v>
      </c>
    </row>
    <row r="132" spans="1:16" ht="27" x14ac:dyDescent="0.35">
      <c r="A132" s="15">
        <f t="shared" si="19"/>
        <v>7</v>
      </c>
      <c r="B132" s="16" t="s">
        <v>347</v>
      </c>
      <c r="C132" s="19">
        <f t="shared" si="14"/>
        <v>16</v>
      </c>
      <c r="D132" s="19">
        <f t="shared" si="15"/>
        <v>9</v>
      </c>
      <c r="E132" s="19">
        <f t="shared" si="16"/>
        <v>2016</v>
      </c>
      <c r="F132" s="17">
        <v>42629</v>
      </c>
      <c r="G132" s="72" t="s">
        <v>348</v>
      </c>
      <c r="H132" s="72" t="s">
        <v>349</v>
      </c>
      <c r="I132" s="19">
        <v>14578</v>
      </c>
      <c r="J132" s="18" t="s">
        <v>24</v>
      </c>
      <c r="K132" s="20" t="s">
        <v>161</v>
      </c>
      <c r="L132" s="105">
        <v>4400000</v>
      </c>
      <c r="M132" s="88">
        <v>44455</v>
      </c>
      <c r="N132" s="20">
        <v>60</v>
      </c>
      <c r="O132" s="19">
        <f t="shared" si="17"/>
        <v>119</v>
      </c>
      <c r="P132" s="19" t="str">
        <f t="shared" si="18"/>
        <v>UMUR HABIS</v>
      </c>
    </row>
    <row r="133" spans="1:16" ht="27" x14ac:dyDescent="0.35">
      <c r="A133" s="15">
        <f t="shared" si="19"/>
        <v>8</v>
      </c>
      <c r="B133" s="16" t="s">
        <v>347</v>
      </c>
      <c r="C133" s="19">
        <f t="shared" si="14"/>
        <v>16</v>
      </c>
      <c r="D133" s="19">
        <f t="shared" si="15"/>
        <v>9</v>
      </c>
      <c r="E133" s="19">
        <f t="shared" si="16"/>
        <v>2016</v>
      </c>
      <c r="F133" s="17">
        <v>42629</v>
      </c>
      <c r="G133" s="72" t="s">
        <v>350</v>
      </c>
      <c r="H133" s="72" t="s">
        <v>351</v>
      </c>
      <c r="I133" s="19">
        <v>14579</v>
      </c>
      <c r="J133" s="18" t="s">
        <v>24</v>
      </c>
      <c r="K133" s="20" t="s">
        <v>352</v>
      </c>
      <c r="L133" s="105">
        <v>4400000</v>
      </c>
      <c r="M133" s="88">
        <v>44455</v>
      </c>
      <c r="N133" s="20">
        <v>60</v>
      </c>
      <c r="O133" s="19">
        <f t="shared" si="17"/>
        <v>119</v>
      </c>
      <c r="P133" s="19" t="str">
        <f t="shared" si="18"/>
        <v>UMUR HABIS</v>
      </c>
    </row>
    <row r="134" spans="1:16" ht="27" x14ac:dyDescent="0.35">
      <c r="A134" s="15">
        <f t="shared" si="19"/>
        <v>9</v>
      </c>
      <c r="B134" s="16" t="s">
        <v>353</v>
      </c>
      <c r="C134" s="19">
        <f t="shared" si="14"/>
        <v>19</v>
      </c>
      <c r="D134" s="19">
        <f t="shared" si="15"/>
        <v>9</v>
      </c>
      <c r="E134" s="19">
        <f t="shared" si="16"/>
        <v>2016</v>
      </c>
      <c r="F134" s="17">
        <v>42632</v>
      </c>
      <c r="G134" s="72" t="s">
        <v>354</v>
      </c>
      <c r="H134" s="72" t="s">
        <v>355</v>
      </c>
      <c r="I134" s="19">
        <v>14580</v>
      </c>
      <c r="J134" s="18" t="s">
        <v>113</v>
      </c>
      <c r="K134" s="20" t="s">
        <v>114</v>
      </c>
      <c r="L134" s="105">
        <v>0</v>
      </c>
      <c r="M134" s="88">
        <v>44458</v>
      </c>
      <c r="N134" s="20">
        <v>60</v>
      </c>
      <c r="O134" s="19">
        <f t="shared" si="17"/>
        <v>118</v>
      </c>
      <c r="P134" s="19" t="str">
        <f t="shared" si="18"/>
        <v>UMUR HABIS</v>
      </c>
    </row>
    <row r="135" spans="1:16" ht="27" x14ac:dyDescent="0.35">
      <c r="A135" s="15">
        <f t="shared" si="19"/>
        <v>10</v>
      </c>
      <c r="B135" s="16" t="s">
        <v>356</v>
      </c>
      <c r="C135" s="19">
        <f t="shared" si="14"/>
        <v>31</v>
      </c>
      <c r="D135" s="19">
        <f t="shared" si="15"/>
        <v>3</v>
      </c>
      <c r="E135" s="19">
        <f t="shared" si="16"/>
        <v>2020</v>
      </c>
      <c r="F135" s="17">
        <v>43921</v>
      </c>
      <c r="G135" s="72" t="s">
        <v>357</v>
      </c>
      <c r="H135" s="72" t="s">
        <v>358</v>
      </c>
      <c r="I135" s="19">
        <v>14690</v>
      </c>
      <c r="J135" s="18" t="s">
        <v>24</v>
      </c>
      <c r="K135" s="20" t="s">
        <v>76</v>
      </c>
      <c r="L135" s="105">
        <v>24915000</v>
      </c>
      <c r="M135" s="88">
        <v>45747</v>
      </c>
      <c r="N135" s="20">
        <v>60</v>
      </c>
      <c r="O135" s="19">
        <f t="shared" si="17"/>
        <v>76</v>
      </c>
      <c r="P135" s="19" t="str">
        <f t="shared" si="18"/>
        <v>UMUR HABIS</v>
      </c>
    </row>
    <row r="136" spans="1:16" ht="27" x14ac:dyDescent="0.35">
      <c r="A136" s="15">
        <f t="shared" si="19"/>
        <v>11</v>
      </c>
      <c r="B136" s="16" t="s">
        <v>359</v>
      </c>
      <c r="C136" s="19">
        <f t="shared" si="14"/>
        <v>31</v>
      </c>
      <c r="D136" s="19">
        <f t="shared" si="15"/>
        <v>3</v>
      </c>
      <c r="E136" s="19">
        <f t="shared" si="16"/>
        <v>2020</v>
      </c>
      <c r="F136" s="17">
        <v>43921</v>
      </c>
      <c r="G136" s="72" t="s">
        <v>360</v>
      </c>
      <c r="H136" s="72" t="s">
        <v>361</v>
      </c>
      <c r="I136" s="19">
        <v>14691</v>
      </c>
      <c r="J136" s="18" t="s">
        <v>24</v>
      </c>
      <c r="K136" s="20" t="s">
        <v>76</v>
      </c>
      <c r="L136" s="105">
        <v>7423900</v>
      </c>
      <c r="M136" s="88">
        <v>45747</v>
      </c>
      <c r="N136" s="20">
        <v>60</v>
      </c>
      <c r="O136" s="19">
        <f t="shared" si="17"/>
        <v>76</v>
      </c>
      <c r="P136" s="19" t="str">
        <f t="shared" si="18"/>
        <v>UMUR HABIS</v>
      </c>
    </row>
    <row r="137" spans="1:16" ht="27" x14ac:dyDescent="0.35">
      <c r="A137" s="15">
        <f t="shared" si="19"/>
        <v>12</v>
      </c>
      <c r="B137" s="16" t="s">
        <v>362</v>
      </c>
      <c r="C137" s="19">
        <f t="shared" si="14"/>
        <v>23</v>
      </c>
      <c r="D137" s="19">
        <f t="shared" si="15"/>
        <v>6</v>
      </c>
      <c r="E137" s="19">
        <f t="shared" si="16"/>
        <v>2016</v>
      </c>
      <c r="F137" s="17">
        <v>42544</v>
      </c>
      <c r="G137" s="72" t="s">
        <v>363</v>
      </c>
      <c r="H137" s="72" t="s">
        <v>364</v>
      </c>
      <c r="I137" s="19">
        <v>14732</v>
      </c>
      <c r="J137" s="18" t="s">
        <v>24</v>
      </c>
      <c r="K137" s="20" t="s">
        <v>365</v>
      </c>
      <c r="L137" s="105">
        <v>15000000</v>
      </c>
      <c r="M137" s="88">
        <v>44370</v>
      </c>
      <c r="N137" s="20">
        <v>60</v>
      </c>
      <c r="O137" s="19">
        <f t="shared" si="17"/>
        <v>121</v>
      </c>
      <c r="P137" s="19" t="str">
        <f t="shared" si="18"/>
        <v>UMUR HABIS</v>
      </c>
    </row>
    <row r="138" spans="1:16" ht="27" x14ac:dyDescent="0.35">
      <c r="A138" s="15">
        <f t="shared" si="19"/>
        <v>13</v>
      </c>
      <c r="B138" s="16" t="s">
        <v>366</v>
      </c>
      <c r="C138" s="19">
        <f t="shared" si="14"/>
        <v>3</v>
      </c>
      <c r="D138" s="19">
        <f t="shared" si="15"/>
        <v>11</v>
      </c>
      <c r="E138" s="19">
        <f t="shared" si="16"/>
        <v>2010</v>
      </c>
      <c r="F138" s="17">
        <v>40485</v>
      </c>
      <c r="G138" s="72" t="s">
        <v>367</v>
      </c>
      <c r="H138" s="72" t="s">
        <v>368</v>
      </c>
      <c r="I138" s="19">
        <v>14741</v>
      </c>
      <c r="J138" s="18" t="s">
        <v>113</v>
      </c>
      <c r="K138" s="20" t="s">
        <v>114</v>
      </c>
      <c r="L138" s="105">
        <v>0</v>
      </c>
      <c r="M138" s="88">
        <v>41581</v>
      </c>
      <c r="N138" s="20">
        <v>36</v>
      </c>
      <c r="O138" s="19">
        <f t="shared" si="17"/>
        <v>189</v>
      </c>
      <c r="P138" s="19" t="str">
        <f t="shared" si="18"/>
        <v>UMUR HABIS</v>
      </c>
    </row>
    <row r="139" spans="1:16" ht="27" x14ac:dyDescent="0.35">
      <c r="A139" s="15">
        <f t="shared" si="19"/>
        <v>14</v>
      </c>
      <c r="B139" s="16" t="s">
        <v>362</v>
      </c>
      <c r="C139" s="19">
        <f t="shared" si="14"/>
        <v>21</v>
      </c>
      <c r="D139" s="19">
        <f t="shared" si="15"/>
        <v>7</v>
      </c>
      <c r="E139" s="19">
        <f t="shared" si="16"/>
        <v>2014</v>
      </c>
      <c r="F139" s="17">
        <v>41841</v>
      </c>
      <c r="G139" s="72" t="s">
        <v>369</v>
      </c>
      <c r="H139" s="72" t="s">
        <v>370</v>
      </c>
      <c r="I139" s="19">
        <v>14742</v>
      </c>
      <c r="J139" s="18" t="s">
        <v>24</v>
      </c>
      <c r="K139" s="20" t="s">
        <v>371</v>
      </c>
      <c r="L139" s="105">
        <v>8855000</v>
      </c>
      <c r="M139" s="88">
        <v>43667</v>
      </c>
      <c r="N139" s="20">
        <v>60</v>
      </c>
      <c r="O139" s="19">
        <f t="shared" si="17"/>
        <v>144</v>
      </c>
      <c r="P139" s="19" t="str">
        <f t="shared" si="18"/>
        <v>UMUR HABIS</v>
      </c>
    </row>
    <row r="140" spans="1:16" ht="27" x14ac:dyDescent="0.35">
      <c r="A140" s="15">
        <f t="shared" si="19"/>
        <v>15</v>
      </c>
      <c r="B140" s="16" t="s">
        <v>372</v>
      </c>
      <c r="C140" s="19">
        <f t="shared" si="14"/>
        <v>24</v>
      </c>
      <c r="D140" s="19">
        <f t="shared" si="15"/>
        <v>3</v>
      </c>
      <c r="E140" s="19">
        <f t="shared" si="16"/>
        <v>2021</v>
      </c>
      <c r="F140" s="17">
        <v>44279</v>
      </c>
      <c r="G140" s="72" t="s">
        <v>373</v>
      </c>
      <c r="H140" s="72" t="s">
        <v>374</v>
      </c>
      <c r="I140" s="19">
        <v>14753</v>
      </c>
      <c r="J140" s="18" t="s">
        <v>24</v>
      </c>
      <c r="K140" s="20" t="s">
        <v>60</v>
      </c>
      <c r="L140" s="105">
        <v>4766001</v>
      </c>
      <c r="M140" s="88">
        <v>46105</v>
      </c>
      <c r="N140" s="20">
        <v>60</v>
      </c>
      <c r="O140" s="19">
        <f t="shared" si="17"/>
        <v>64</v>
      </c>
      <c r="P140" s="19" t="str">
        <f t="shared" si="18"/>
        <v>UMUR HABIS</v>
      </c>
    </row>
    <row r="141" spans="1:16" ht="27" x14ac:dyDescent="0.35">
      <c r="A141" s="15">
        <f t="shared" si="19"/>
        <v>16</v>
      </c>
      <c r="B141" s="16" t="s">
        <v>375</v>
      </c>
      <c r="C141" s="19">
        <f t="shared" si="14"/>
        <v>24</v>
      </c>
      <c r="D141" s="19">
        <f t="shared" si="15"/>
        <v>3</v>
      </c>
      <c r="E141" s="19">
        <f t="shared" si="16"/>
        <v>2021</v>
      </c>
      <c r="F141" s="17">
        <v>44279</v>
      </c>
      <c r="G141" s="72" t="s">
        <v>376</v>
      </c>
      <c r="H141" s="72" t="s">
        <v>377</v>
      </c>
      <c r="I141" s="19">
        <v>14754</v>
      </c>
      <c r="J141" s="18" t="s">
        <v>24</v>
      </c>
      <c r="K141" s="20" t="s">
        <v>178</v>
      </c>
      <c r="L141" s="105">
        <v>5537250</v>
      </c>
      <c r="M141" s="88">
        <v>46105</v>
      </c>
      <c r="N141" s="20">
        <v>60</v>
      </c>
      <c r="O141" s="19">
        <f t="shared" si="17"/>
        <v>64</v>
      </c>
      <c r="P141" s="19" t="str">
        <f t="shared" si="18"/>
        <v>UMUR HABIS</v>
      </c>
    </row>
    <row r="142" spans="1:16" ht="27" x14ac:dyDescent="0.35">
      <c r="A142" s="15">
        <f t="shared" si="19"/>
        <v>17</v>
      </c>
      <c r="B142" s="16" t="s">
        <v>375</v>
      </c>
      <c r="C142" s="19">
        <f t="shared" si="14"/>
        <v>24</v>
      </c>
      <c r="D142" s="19">
        <f t="shared" si="15"/>
        <v>3</v>
      </c>
      <c r="E142" s="19">
        <f t="shared" si="16"/>
        <v>2021</v>
      </c>
      <c r="F142" s="17">
        <v>44279</v>
      </c>
      <c r="G142" s="72" t="s">
        <v>378</v>
      </c>
      <c r="H142" s="72" t="s">
        <v>379</v>
      </c>
      <c r="I142" s="19">
        <v>14755</v>
      </c>
      <c r="J142" s="18" t="s">
        <v>24</v>
      </c>
      <c r="K142" s="20" t="s">
        <v>271</v>
      </c>
      <c r="L142" s="105">
        <v>5537250</v>
      </c>
      <c r="M142" s="88">
        <v>46105</v>
      </c>
      <c r="N142" s="20">
        <v>60</v>
      </c>
      <c r="O142" s="19">
        <f t="shared" si="17"/>
        <v>64</v>
      </c>
      <c r="P142" s="19" t="str">
        <f t="shared" si="18"/>
        <v>UMUR HABIS</v>
      </c>
    </row>
    <row r="143" spans="1:16" ht="27" x14ac:dyDescent="0.35">
      <c r="A143" s="15">
        <f t="shared" si="19"/>
        <v>18</v>
      </c>
      <c r="B143" s="16" t="s">
        <v>380</v>
      </c>
      <c r="C143" s="19">
        <f t="shared" si="14"/>
        <v>22</v>
      </c>
      <c r="D143" s="19">
        <f t="shared" si="15"/>
        <v>4</v>
      </c>
      <c r="E143" s="19">
        <f t="shared" si="16"/>
        <v>2021</v>
      </c>
      <c r="F143" s="17">
        <v>44308</v>
      </c>
      <c r="G143" s="72" t="s">
        <v>381</v>
      </c>
      <c r="H143" s="72" t="s">
        <v>382</v>
      </c>
      <c r="I143" s="19">
        <v>14756</v>
      </c>
      <c r="J143" s="18" t="s">
        <v>24</v>
      </c>
      <c r="K143" s="20" t="s">
        <v>98</v>
      </c>
      <c r="L143" s="105">
        <v>27990000</v>
      </c>
      <c r="M143" s="88">
        <v>46134</v>
      </c>
      <c r="N143" s="20">
        <v>60</v>
      </c>
      <c r="O143" s="19">
        <f t="shared" si="17"/>
        <v>63</v>
      </c>
      <c r="P143" s="19" t="str">
        <f t="shared" si="18"/>
        <v>UMUR HABIS</v>
      </c>
    </row>
    <row r="144" spans="1:16" ht="27" x14ac:dyDescent="0.35">
      <c r="A144" s="15">
        <f t="shared" si="19"/>
        <v>19</v>
      </c>
      <c r="B144" s="16" t="s">
        <v>383</v>
      </c>
      <c r="C144" s="19">
        <f t="shared" si="14"/>
        <v>7</v>
      </c>
      <c r="D144" s="19">
        <f t="shared" si="15"/>
        <v>12</v>
      </c>
      <c r="E144" s="19">
        <f t="shared" si="16"/>
        <v>2021</v>
      </c>
      <c r="F144" s="17">
        <v>44537</v>
      </c>
      <c r="G144" s="72" t="s">
        <v>384</v>
      </c>
      <c r="H144" s="72" t="s">
        <v>385</v>
      </c>
      <c r="I144" s="19">
        <v>14773</v>
      </c>
      <c r="J144" s="18" t="s">
        <v>24</v>
      </c>
      <c r="K144" s="20" t="s">
        <v>283</v>
      </c>
      <c r="L144" s="105">
        <v>18043001</v>
      </c>
      <c r="M144" s="88">
        <v>46363</v>
      </c>
      <c r="N144" s="20">
        <v>60</v>
      </c>
      <c r="O144" s="19">
        <f t="shared" si="17"/>
        <v>56</v>
      </c>
      <c r="P144" s="19">
        <f t="shared" si="18"/>
        <v>4</v>
      </c>
    </row>
    <row r="145" spans="1:16" ht="27" x14ac:dyDescent="0.35">
      <c r="A145" s="15">
        <f t="shared" si="19"/>
        <v>20</v>
      </c>
      <c r="B145" s="16" t="s">
        <v>386</v>
      </c>
      <c r="C145" s="19">
        <f t="shared" si="14"/>
        <v>7</v>
      </c>
      <c r="D145" s="19">
        <f t="shared" si="15"/>
        <v>12</v>
      </c>
      <c r="E145" s="19">
        <f t="shared" si="16"/>
        <v>2021</v>
      </c>
      <c r="F145" s="17">
        <v>44537</v>
      </c>
      <c r="G145" s="72" t="s">
        <v>387</v>
      </c>
      <c r="H145" s="72" t="s">
        <v>388</v>
      </c>
      <c r="I145" s="19">
        <v>14774</v>
      </c>
      <c r="J145" s="18" t="s">
        <v>24</v>
      </c>
      <c r="K145" s="20" t="s">
        <v>98</v>
      </c>
      <c r="L145" s="105">
        <v>28108720</v>
      </c>
      <c r="M145" s="88">
        <v>46363</v>
      </c>
      <c r="N145" s="20">
        <v>60</v>
      </c>
      <c r="O145" s="19">
        <f t="shared" si="17"/>
        <v>56</v>
      </c>
      <c r="P145" s="19">
        <f t="shared" si="18"/>
        <v>4</v>
      </c>
    </row>
    <row r="146" spans="1:16" ht="27" x14ac:dyDescent="0.35">
      <c r="A146" s="15">
        <f t="shared" si="19"/>
        <v>21</v>
      </c>
      <c r="B146" s="16" t="s">
        <v>386</v>
      </c>
      <c r="C146" s="19">
        <f t="shared" si="14"/>
        <v>7</v>
      </c>
      <c r="D146" s="19">
        <f t="shared" si="15"/>
        <v>12</v>
      </c>
      <c r="E146" s="19">
        <f t="shared" si="16"/>
        <v>2021</v>
      </c>
      <c r="F146" s="17">
        <v>44537</v>
      </c>
      <c r="G146" s="72" t="s">
        <v>389</v>
      </c>
      <c r="H146" s="72" t="s">
        <v>390</v>
      </c>
      <c r="I146" s="19">
        <v>14775</v>
      </c>
      <c r="J146" s="18" t="s">
        <v>24</v>
      </c>
      <c r="K146" s="20" t="s">
        <v>271</v>
      </c>
      <c r="L146" s="105">
        <v>28108720</v>
      </c>
      <c r="M146" s="88">
        <v>46363</v>
      </c>
      <c r="N146" s="20">
        <v>60</v>
      </c>
      <c r="O146" s="19">
        <f t="shared" si="17"/>
        <v>56</v>
      </c>
      <c r="P146" s="19">
        <f t="shared" si="18"/>
        <v>4</v>
      </c>
    </row>
    <row r="147" spans="1:16" ht="27" x14ac:dyDescent="0.35">
      <c r="A147" s="15">
        <f t="shared" si="19"/>
        <v>22</v>
      </c>
      <c r="B147" s="16" t="s">
        <v>391</v>
      </c>
      <c r="C147" s="19">
        <f t="shared" si="14"/>
        <v>7</v>
      </c>
      <c r="D147" s="19">
        <f t="shared" si="15"/>
        <v>12</v>
      </c>
      <c r="E147" s="19">
        <f t="shared" si="16"/>
        <v>2021</v>
      </c>
      <c r="F147" s="17">
        <v>44537</v>
      </c>
      <c r="G147" s="72" t="s">
        <v>392</v>
      </c>
      <c r="H147" s="72" t="s">
        <v>393</v>
      </c>
      <c r="I147" s="19">
        <v>14776</v>
      </c>
      <c r="J147" s="18" t="s">
        <v>24</v>
      </c>
      <c r="K147" s="20" t="s">
        <v>98</v>
      </c>
      <c r="L147" s="105">
        <v>28108720</v>
      </c>
      <c r="M147" s="88">
        <v>46363</v>
      </c>
      <c r="N147" s="20">
        <v>60</v>
      </c>
      <c r="O147" s="19">
        <f t="shared" si="17"/>
        <v>56</v>
      </c>
      <c r="P147" s="19">
        <f t="shared" si="18"/>
        <v>4</v>
      </c>
    </row>
    <row r="148" spans="1:16" ht="27" x14ac:dyDescent="0.35">
      <c r="A148" s="15">
        <f t="shared" si="19"/>
        <v>23</v>
      </c>
      <c r="B148" s="16" t="s">
        <v>394</v>
      </c>
      <c r="C148" s="19">
        <f t="shared" si="14"/>
        <v>11</v>
      </c>
      <c r="D148" s="19">
        <f t="shared" si="15"/>
        <v>4</v>
      </c>
      <c r="E148" s="19">
        <f t="shared" si="16"/>
        <v>2022</v>
      </c>
      <c r="F148" s="17">
        <v>44662</v>
      </c>
      <c r="G148" s="72" t="s">
        <v>395</v>
      </c>
      <c r="H148" s="72" t="s">
        <v>396</v>
      </c>
      <c r="I148" s="19">
        <v>14778</v>
      </c>
      <c r="J148" s="18" t="s">
        <v>24</v>
      </c>
      <c r="K148" s="20" t="s">
        <v>98</v>
      </c>
      <c r="L148" s="105">
        <v>18029932</v>
      </c>
      <c r="M148" s="88">
        <v>46488</v>
      </c>
      <c r="N148" s="20">
        <v>60</v>
      </c>
      <c r="O148" s="19">
        <f t="shared" si="17"/>
        <v>52</v>
      </c>
      <c r="P148" s="19">
        <f t="shared" si="18"/>
        <v>8</v>
      </c>
    </row>
    <row r="149" spans="1:16" ht="27" x14ac:dyDescent="0.35">
      <c r="A149" s="15">
        <f t="shared" si="19"/>
        <v>24</v>
      </c>
      <c r="B149" s="16" t="s">
        <v>394</v>
      </c>
      <c r="C149" s="19">
        <f t="shared" si="14"/>
        <v>11</v>
      </c>
      <c r="D149" s="19">
        <f t="shared" si="15"/>
        <v>4</v>
      </c>
      <c r="E149" s="19">
        <f t="shared" si="16"/>
        <v>2022</v>
      </c>
      <c r="F149" s="17">
        <v>44662</v>
      </c>
      <c r="G149" s="72" t="s">
        <v>397</v>
      </c>
      <c r="H149" s="72" t="s">
        <v>398</v>
      </c>
      <c r="I149" s="19">
        <v>14779</v>
      </c>
      <c r="J149" s="18" t="s">
        <v>24</v>
      </c>
      <c r="K149" s="20" t="s">
        <v>161</v>
      </c>
      <c r="L149" s="105">
        <v>18029932</v>
      </c>
      <c r="M149" s="88">
        <v>46488</v>
      </c>
      <c r="N149" s="20">
        <v>60</v>
      </c>
      <c r="O149" s="19">
        <f t="shared" si="17"/>
        <v>52</v>
      </c>
      <c r="P149" s="19">
        <f t="shared" si="18"/>
        <v>8</v>
      </c>
    </row>
    <row r="150" spans="1:16" ht="27" x14ac:dyDescent="0.35">
      <c r="A150" s="15">
        <f t="shared" si="19"/>
        <v>25</v>
      </c>
      <c r="B150" s="16" t="s">
        <v>394</v>
      </c>
      <c r="C150" s="19">
        <f t="shared" si="14"/>
        <v>11</v>
      </c>
      <c r="D150" s="19">
        <f t="shared" si="15"/>
        <v>4</v>
      </c>
      <c r="E150" s="19">
        <f t="shared" si="16"/>
        <v>2022</v>
      </c>
      <c r="F150" s="17">
        <v>44662</v>
      </c>
      <c r="G150" s="72" t="s">
        <v>399</v>
      </c>
      <c r="H150" s="72" t="s">
        <v>400</v>
      </c>
      <c r="I150" s="19">
        <v>14780</v>
      </c>
      <c r="J150" s="18" t="s">
        <v>24</v>
      </c>
      <c r="K150" s="20" t="s">
        <v>271</v>
      </c>
      <c r="L150" s="105">
        <v>18029932</v>
      </c>
      <c r="M150" s="88">
        <v>46488</v>
      </c>
      <c r="N150" s="20">
        <v>60</v>
      </c>
      <c r="O150" s="19">
        <f t="shared" si="17"/>
        <v>52</v>
      </c>
      <c r="P150" s="19">
        <f t="shared" si="18"/>
        <v>8</v>
      </c>
    </row>
    <row r="151" spans="1:16" ht="27" x14ac:dyDescent="0.35">
      <c r="A151" s="15">
        <f t="shared" si="19"/>
        <v>26</v>
      </c>
      <c r="B151" s="16" t="s">
        <v>380</v>
      </c>
      <c r="C151" s="19">
        <f t="shared" si="14"/>
        <v>22</v>
      </c>
      <c r="D151" s="19">
        <f t="shared" si="15"/>
        <v>4</v>
      </c>
      <c r="E151" s="19">
        <f t="shared" si="16"/>
        <v>2021</v>
      </c>
      <c r="F151" s="17">
        <v>44308</v>
      </c>
      <c r="G151" s="72" t="s">
        <v>401</v>
      </c>
      <c r="H151" s="72" t="s">
        <v>402</v>
      </c>
      <c r="I151" s="19">
        <v>14794</v>
      </c>
      <c r="J151" s="18" t="s">
        <v>24</v>
      </c>
      <c r="K151" s="20" t="s">
        <v>403</v>
      </c>
      <c r="L151" s="105">
        <v>27990000</v>
      </c>
      <c r="M151" s="88">
        <v>46134</v>
      </c>
      <c r="N151" s="20">
        <v>60</v>
      </c>
      <c r="O151" s="19">
        <f t="shared" si="17"/>
        <v>63</v>
      </c>
      <c r="P151" s="19" t="str">
        <f t="shared" si="18"/>
        <v>UMUR HABIS</v>
      </c>
    </row>
    <row r="152" spans="1:16" ht="27" x14ac:dyDescent="0.35">
      <c r="A152" s="15">
        <f t="shared" si="19"/>
        <v>27</v>
      </c>
      <c r="B152" s="16" t="s">
        <v>380</v>
      </c>
      <c r="C152" s="19">
        <f t="shared" si="14"/>
        <v>22</v>
      </c>
      <c r="D152" s="19">
        <f t="shared" si="15"/>
        <v>4</v>
      </c>
      <c r="E152" s="19">
        <f t="shared" si="16"/>
        <v>2021</v>
      </c>
      <c r="F152" s="17">
        <v>44308</v>
      </c>
      <c r="G152" s="72" t="s">
        <v>404</v>
      </c>
      <c r="H152" s="72" t="s">
        <v>405</v>
      </c>
      <c r="I152" s="19">
        <v>14795</v>
      </c>
      <c r="J152" s="18" t="s">
        <v>24</v>
      </c>
      <c r="K152" s="20" t="s">
        <v>271</v>
      </c>
      <c r="L152" s="105">
        <v>27990000</v>
      </c>
      <c r="M152" s="88">
        <v>46134</v>
      </c>
      <c r="N152" s="20">
        <v>60</v>
      </c>
      <c r="O152" s="19">
        <f t="shared" si="17"/>
        <v>63</v>
      </c>
      <c r="P152" s="19" t="str">
        <f t="shared" si="18"/>
        <v>UMUR HABIS</v>
      </c>
    </row>
    <row r="153" spans="1:16" ht="27" x14ac:dyDescent="0.35">
      <c r="A153" s="15">
        <f t="shared" si="19"/>
        <v>28</v>
      </c>
      <c r="B153" s="16" t="s">
        <v>380</v>
      </c>
      <c r="C153" s="19">
        <f t="shared" si="14"/>
        <v>22</v>
      </c>
      <c r="D153" s="19">
        <f t="shared" si="15"/>
        <v>4</v>
      </c>
      <c r="E153" s="19">
        <f t="shared" si="16"/>
        <v>2021</v>
      </c>
      <c r="F153" s="17">
        <v>44308</v>
      </c>
      <c r="G153" s="72" t="s">
        <v>406</v>
      </c>
      <c r="H153" s="72" t="s">
        <v>407</v>
      </c>
      <c r="I153" s="19">
        <v>14796</v>
      </c>
      <c r="J153" s="18" t="s">
        <v>24</v>
      </c>
      <c r="K153" s="20" t="s">
        <v>98</v>
      </c>
      <c r="L153" s="105">
        <v>27990000</v>
      </c>
      <c r="M153" s="88">
        <v>46134</v>
      </c>
      <c r="N153" s="20">
        <v>60</v>
      </c>
      <c r="O153" s="19">
        <f t="shared" si="17"/>
        <v>63</v>
      </c>
      <c r="P153" s="19" t="str">
        <f t="shared" si="18"/>
        <v>UMUR HABIS</v>
      </c>
    </row>
    <row r="154" spans="1:16" ht="27" x14ac:dyDescent="0.35">
      <c r="A154" s="15">
        <f t="shared" si="19"/>
        <v>29</v>
      </c>
      <c r="B154" s="16" t="s">
        <v>380</v>
      </c>
      <c r="C154" s="19">
        <f t="shared" si="14"/>
        <v>22</v>
      </c>
      <c r="D154" s="19">
        <f t="shared" si="15"/>
        <v>4</v>
      </c>
      <c r="E154" s="19">
        <f t="shared" si="16"/>
        <v>2021</v>
      </c>
      <c r="F154" s="17">
        <v>44308</v>
      </c>
      <c r="G154" s="72" t="s">
        <v>408</v>
      </c>
      <c r="H154" s="72" t="s">
        <v>409</v>
      </c>
      <c r="I154" s="19">
        <v>14797</v>
      </c>
      <c r="J154" s="18" t="s">
        <v>24</v>
      </c>
      <c r="K154" s="20" t="s">
        <v>98</v>
      </c>
      <c r="L154" s="105">
        <v>27990000</v>
      </c>
      <c r="M154" s="88">
        <v>46134</v>
      </c>
      <c r="N154" s="20">
        <v>60</v>
      </c>
      <c r="O154" s="19">
        <f t="shared" si="17"/>
        <v>63</v>
      </c>
      <c r="P154" s="19" t="str">
        <f t="shared" si="18"/>
        <v>UMUR HABIS</v>
      </c>
    </row>
    <row r="155" spans="1:16" ht="27" x14ac:dyDescent="0.35">
      <c r="A155" s="15">
        <f t="shared" si="19"/>
        <v>30</v>
      </c>
      <c r="B155" s="16" t="s">
        <v>380</v>
      </c>
      <c r="C155" s="19">
        <f t="shared" si="14"/>
        <v>22</v>
      </c>
      <c r="D155" s="19">
        <f t="shared" si="15"/>
        <v>4</v>
      </c>
      <c r="E155" s="19">
        <f t="shared" si="16"/>
        <v>2021</v>
      </c>
      <c r="F155" s="17">
        <v>44308</v>
      </c>
      <c r="G155" s="72" t="s">
        <v>410</v>
      </c>
      <c r="H155" s="72" t="s">
        <v>411</v>
      </c>
      <c r="I155" s="19">
        <v>14798</v>
      </c>
      <c r="J155" s="18" t="s">
        <v>24</v>
      </c>
      <c r="K155" s="20" t="s">
        <v>271</v>
      </c>
      <c r="L155" s="105">
        <v>27990000</v>
      </c>
      <c r="M155" s="88">
        <v>46134</v>
      </c>
      <c r="N155" s="20">
        <v>60</v>
      </c>
      <c r="O155" s="19">
        <f t="shared" si="17"/>
        <v>63</v>
      </c>
      <c r="P155" s="19" t="str">
        <f t="shared" si="18"/>
        <v>UMUR HABIS</v>
      </c>
    </row>
    <row r="156" spans="1:16" ht="27" x14ac:dyDescent="0.35">
      <c r="A156" s="15">
        <f t="shared" si="19"/>
        <v>31</v>
      </c>
      <c r="B156" s="16" t="s">
        <v>380</v>
      </c>
      <c r="C156" s="19">
        <f t="shared" si="14"/>
        <v>22</v>
      </c>
      <c r="D156" s="19">
        <f t="shared" si="15"/>
        <v>4</v>
      </c>
      <c r="E156" s="19">
        <f t="shared" si="16"/>
        <v>2021</v>
      </c>
      <c r="F156" s="17">
        <v>44308</v>
      </c>
      <c r="G156" s="72" t="s">
        <v>412</v>
      </c>
      <c r="H156" s="72" t="s">
        <v>413</v>
      </c>
      <c r="I156" s="19">
        <v>14799</v>
      </c>
      <c r="J156" s="18" t="s">
        <v>24</v>
      </c>
      <c r="K156" s="20" t="s">
        <v>98</v>
      </c>
      <c r="L156" s="105">
        <v>27990000</v>
      </c>
      <c r="M156" s="88">
        <v>46134</v>
      </c>
      <c r="N156" s="20">
        <v>60</v>
      </c>
      <c r="O156" s="19">
        <f t="shared" si="17"/>
        <v>63</v>
      </c>
      <c r="P156" s="19" t="str">
        <f t="shared" si="18"/>
        <v>UMUR HABIS</v>
      </c>
    </row>
    <row r="157" spans="1:16" ht="27" x14ac:dyDescent="0.35">
      <c r="A157" s="15">
        <f t="shared" si="19"/>
        <v>32</v>
      </c>
      <c r="B157" s="16" t="s">
        <v>380</v>
      </c>
      <c r="C157" s="19">
        <f t="shared" si="14"/>
        <v>22</v>
      </c>
      <c r="D157" s="19">
        <f t="shared" si="15"/>
        <v>4</v>
      </c>
      <c r="E157" s="19">
        <f t="shared" si="16"/>
        <v>2021</v>
      </c>
      <c r="F157" s="17">
        <v>44308</v>
      </c>
      <c r="G157" s="72" t="s">
        <v>414</v>
      </c>
      <c r="H157" s="72" t="s">
        <v>415</v>
      </c>
      <c r="I157" s="19">
        <v>14800</v>
      </c>
      <c r="J157" s="18" t="s">
        <v>24</v>
      </c>
      <c r="K157" s="20" t="s">
        <v>271</v>
      </c>
      <c r="L157" s="105">
        <v>27990000</v>
      </c>
      <c r="M157" s="88">
        <v>46134</v>
      </c>
      <c r="N157" s="20">
        <v>60</v>
      </c>
      <c r="O157" s="19">
        <f t="shared" si="17"/>
        <v>63</v>
      </c>
      <c r="P157" s="19" t="str">
        <f t="shared" si="18"/>
        <v>UMUR HABIS</v>
      </c>
    </row>
    <row r="158" spans="1:16" ht="27" x14ac:dyDescent="0.35">
      <c r="A158" s="15">
        <f t="shared" si="19"/>
        <v>33</v>
      </c>
      <c r="B158" s="16" t="s">
        <v>416</v>
      </c>
      <c r="C158" s="19">
        <f t="shared" si="14"/>
        <v>20</v>
      </c>
      <c r="D158" s="19">
        <f t="shared" si="15"/>
        <v>4</v>
      </c>
      <c r="E158" s="19">
        <f t="shared" si="16"/>
        <v>2021</v>
      </c>
      <c r="F158" s="17">
        <v>44306</v>
      </c>
      <c r="G158" s="72" t="s">
        <v>417</v>
      </c>
      <c r="H158" s="72" t="s">
        <v>418</v>
      </c>
      <c r="I158" s="19">
        <v>14802</v>
      </c>
      <c r="J158" s="18" t="s">
        <v>24</v>
      </c>
      <c r="K158" s="20" t="s">
        <v>76</v>
      </c>
      <c r="L158" s="105">
        <v>3105000</v>
      </c>
      <c r="M158" s="88">
        <v>46132</v>
      </c>
      <c r="N158" s="20">
        <v>60</v>
      </c>
      <c r="O158" s="19">
        <f t="shared" ref="O158:O175" si="20">IF(F158="","",ROUND((($O$4-F158)*12/365),0))</f>
        <v>63</v>
      </c>
      <c r="P158" s="19" t="str">
        <f t="shared" ref="P158:P175" si="21">IF(F158="","",IF(O158&gt;=N158,"UMUR HABIS",N158-O158))</f>
        <v>UMUR HABIS</v>
      </c>
    </row>
    <row r="159" spans="1:16" ht="27" x14ac:dyDescent="0.35">
      <c r="A159" s="15">
        <f t="shared" si="19"/>
        <v>34</v>
      </c>
      <c r="B159" s="16" t="s">
        <v>419</v>
      </c>
      <c r="C159" s="19">
        <f t="shared" si="14"/>
        <v>28</v>
      </c>
      <c r="D159" s="19">
        <f t="shared" si="15"/>
        <v>4</v>
      </c>
      <c r="E159" s="19">
        <f t="shared" si="16"/>
        <v>2021</v>
      </c>
      <c r="F159" s="17">
        <v>44314</v>
      </c>
      <c r="G159" s="72" t="s">
        <v>420</v>
      </c>
      <c r="H159" s="72" t="s">
        <v>421</v>
      </c>
      <c r="I159" s="19">
        <v>14803</v>
      </c>
      <c r="J159" s="18" t="s">
        <v>24</v>
      </c>
      <c r="K159" s="20" t="s">
        <v>98</v>
      </c>
      <c r="L159" s="105">
        <v>5709750</v>
      </c>
      <c r="M159" s="88">
        <v>46140</v>
      </c>
      <c r="N159" s="20">
        <v>60</v>
      </c>
      <c r="O159" s="19">
        <f t="shared" si="20"/>
        <v>63</v>
      </c>
      <c r="P159" s="19" t="str">
        <f t="shared" si="21"/>
        <v>UMUR HABIS</v>
      </c>
    </row>
    <row r="160" spans="1:16" ht="27" x14ac:dyDescent="0.35">
      <c r="A160" s="15">
        <f t="shared" si="19"/>
        <v>35</v>
      </c>
      <c r="B160" s="16" t="s">
        <v>422</v>
      </c>
      <c r="C160" s="19">
        <f t="shared" si="14"/>
        <v>31</v>
      </c>
      <c r="D160" s="19">
        <f t="shared" si="15"/>
        <v>12</v>
      </c>
      <c r="E160" s="19">
        <f t="shared" si="16"/>
        <v>2016</v>
      </c>
      <c r="F160" s="17">
        <v>42735</v>
      </c>
      <c r="G160" s="72" t="s">
        <v>423</v>
      </c>
      <c r="H160" s="72" t="s">
        <v>424</v>
      </c>
      <c r="I160" s="19">
        <v>14806</v>
      </c>
      <c r="J160" s="18" t="s">
        <v>24</v>
      </c>
      <c r="K160" s="20" t="s">
        <v>98</v>
      </c>
      <c r="L160" s="105">
        <v>6270000</v>
      </c>
      <c r="M160" s="88">
        <v>44561</v>
      </c>
      <c r="N160" s="20">
        <v>60</v>
      </c>
      <c r="O160" s="19">
        <f t="shared" si="20"/>
        <v>115</v>
      </c>
      <c r="P160" s="19" t="str">
        <f t="shared" si="21"/>
        <v>UMUR HABIS</v>
      </c>
    </row>
    <row r="161" spans="1:16" ht="27" x14ac:dyDescent="0.35">
      <c r="A161" s="15">
        <f t="shared" si="19"/>
        <v>36</v>
      </c>
      <c r="B161" s="16" t="s">
        <v>425</v>
      </c>
      <c r="C161" s="19">
        <f t="shared" si="14"/>
        <v>31</v>
      </c>
      <c r="D161" s="19">
        <f t="shared" si="15"/>
        <v>12</v>
      </c>
      <c r="E161" s="19">
        <f t="shared" si="16"/>
        <v>2016</v>
      </c>
      <c r="F161" s="17">
        <v>42735</v>
      </c>
      <c r="G161" s="72" t="s">
        <v>426</v>
      </c>
      <c r="H161" s="72" t="s">
        <v>427</v>
      </c>
      <c r="I161" s="19">
        <v>14810</v>
      </c>
      <c r="J161" s="18" t="s">
        <v>24</v>
      </c>
      <c r="K161" s="20" t="s">
        <v>283</v>
      </c>
      <c r="L161" s="105">
        <v>7098000</v>
      </c>
      <c r="M161" s="88">
        <v>44561</v>
      </c>
      <c r="N161" s="20">
        <v>60</v>
      </c>
      <c r="O161" s="19">
        <f t="shared" si="20"/>
        <v>115</v>
      </c>
      <c r="P161" s="19" t="str">
        <f t="shared" si="21"/>
        <v>UMUR HABIS</v>
      </c>
    </row>
    <row r="162" spans="1:16" ht="27" x14ac:dyDescent="0.35">
      <c r="A162" s="15">
        <f t="shared" si="19"/>
        <v>37</v>
      </c>
      <c r="B162" s="16" t="s">
        <v>428</v>
      </c>
      <c r="C162" s="19">
        <f t="shared" si="14"/>
        <v>18</v>
      </c>
      <c r="D162" s="19">
        <f t="shared" si="15"/>
        <v>5</v>
      </c>
      <c r="E162" s="19">
        <f t="shared" si="16"/>
        <v>2017</v>
      </c>
      <c r="F162" s="17">
        <v>42873</v>
      </c>
      <c r="G162" s="72" t="s">
        <v>429</v>
      </c>
      <c r="H162" s="72" t="s">
        <v>430</v>
      </c>
      <c r="I162" s="19">
        <v>14812</v>
      </c>
      <c r="J162" s="18" t="s">
        <v>113</v>
      </c>
      <c r="K162" s="20" t="s">
        <v>114</v>
      </c>
      <c r="L162" s="105">
        <v>0</v>
      </c>
      <c r="M162" s="88">
        <v>44699</v>
      </c>
      <c r="N162" s="20">
        <v>60</v>
      </c>
      <c r="O162" s="19">
        <f t="shared" si="20"/>
        <v>110</v>
      </c>
      <c r="P162" s="19" t="str">
        <f t="shared" si="21"/>
        <v>UMUR HABIS</v>
      </c>
    </row>
    <row r="163" spans="1:16" ht="27" x14ac:dyDescent="0.35">
      <c r="A163" s="15">
        <f t="shared" si="19"/>
        <v>38</v>
      </c>
      <c r="B163" s="16" t="s">
        <v>428</v>
      </c>
      <c r="C163" s="19">
        <f t="shared" si="14"/>
        <v>18</v>
      </c>
      <c r="D163" s="19">
        <f t="shared" si="15"/>
        <v>5</v>
      </c>
      <c r="E163" s="19">
        <f t="shared" si="16"/>
        <v>2017</v>
      </c>
      <c r="F163" s="17">
        <v>42873</v>
      </c>
      <c r="G163" s="72" t="s">
        <v>431</v>
      </c>
      <c r="H163" s="72" t="s">
        <v>432</v>
      </c>
      <c r="I163" s="19">
        <v>14813</v>
      </c>
      <c r="J163" s="18" t="s">
        <v>113</v>
      </c>
      <c r="K163" s="20" t="s">
        <v>114</v>
      </c>
      <c r="L163" s="105">
        <v>12435026</v>
      </c>
      <c r="M163" s="88">
        <v>44699</v>
      </c>
      <c r="N163" s="20">
        <v>60</v>
      </c>
      <c r="O163" s="19">
        <f t="shared" si="20"/>
        <v>110</v>
      </c>
      <c r="P163" s="19" t="str">
        <f t="shared" si="21"/>
        <v>UMUR HABIS</v>
      </c>
    </row>
    <row r="164" spans="1:16" ht="27" x14ac:dyDescent="0.35">
      <c r="A164" s="15">
        <f t="shared" si="19"/>
        <v>39</v>
      </c>
      <c r="B164" s="16" t="s">
        <v>433</v>
      </c>
      <c r="C164" s="19">
        <f t="shared" si="14"/>
        <v>15</v>
      </c>
      <c r="D164" s="19">
        <f t="shared" si="15"/>
        <v>11</v>
      </c>
      <c r="E164" s="19">
        <f t="shared" si="16"/>
        <v>2017</v>
      </c>
      <c r="F164" s="17">
        <v>43054</v>
      </c>
      <c r="G164" s="72" t="s">
        <v>434</v>
      </c>
      <c r="H164" s="72" t="s">
        <v>435</v>
      </c>
      <c r="I164" s="19">
        <v>14815</v>
      </c>
      <c r="J164" s="18" t="s">
        <v>113</v>
      </c>
      <c r="K164" s="20" t="s">
        <v>114</v>
      </c>
      <c r="L164" s="105">
        <v>0</v>
      </c>
      <c r="M164" s="88">
        <v>44880</v>
      </c>
      <c r="N164" s="20">
        <v>60</v>
      </c>
      <c r="O164" s="19">
        <f t="shared" si="20"/>
        <v>105</v>
      </c>
      <c r="P164" s="19" t="str">
        <f t="shared" si="21"/>
        <v>UMUR HABIS</v>
      </c>
    </row>
    <row r="165" spans="1:16" ht="27" x14ac:dyDescent="0.35">
      <c r="A165" s="15">
        <f t="shared" si="19"/>
        <v>40</v>
      </c>
      <c r="B165" s="16" t="s">
        <v>436</v>
      </c>
      <c r="C165" s="19">
        <f t="shared" si="14"/>
        <v>29</v>
      </c>
      <c r="D165" s="19">
        <f t="shared" si="15"/>
        <v>12</v>
      </c>
      <c r="E165" s="19">
        <f t="shared" si="16"/>
        <v>2017</v>
      </c>
      <c r="F165" s="17">
        <v>43098</v>
      </c>
      <c r="G165" s="72" t="s">
        <v>437</v>
      </c>
      <c r="H165" s="72" t="s">
        <v>438</v>
      </c>
      <c r="I165" s="19">
        <v>14816</v>
      </c>
      <c r="J165" s="18" t="s">
        <v>24</v>
      </c>
      <c r="K165" s="20" t="s">
        <v>145</v>
      </c>
      <c r="L165" s="105">
        <v>14335076</v>
      </c>
      <c r="M165" s="88">
        <v>44924</v>
      </c>
      <c r="N165" s="20">
        <v>60</v>
      </c>
      <c r="O165" s="19">
        <f t="shared" si="20"/>
        <v>103</v>
      </c>
      <c r="P165" s="19" t="str">
        <f t="shared" si="21"/>
        <v>UMUR HABIS</v>
      </c>
    </row>
    <row r="166" spans="1:16" ht="27" x14ac:dyDescent="0.35">
      <c r="A166" s="15">
        <f t="shared" si="19"/>
        <v>41</v>
      </c>
      <c r="B166" s="16" t="s">
        <v>439</v>
      </c>
      <c r="C166" s="19">
        <f t="shared" si="14"/>
        <v>31</v>
      </c>
      <c r="D166" s="19">
        <f t="shared" si="15"/>
        <v>3</v>
      </c>
      <c r="E166" s="19">
        <f t="shared" si="16"/>
        <v>2018</v>
      </c>
      <c r="F166" s="17">
        <v>43190</v>
      </c>
      <c r="G166" s="72" t="s">
        <v>440</v>
      </c>
      <c r="H166" s="72" t="s">
        <v>441</v>
      </c>
      <c r="I166" s="19">
        <v>14846</v>
      </c>
      <c r="J166" s="18" t="s">
        <v>24</v>
      </c>
      <c r="K166" s="20" t="s">
        <v>283</v>
      </c>
      <c r="L166" s="105">
        <v>3796550</v>
      </c>
      <c r="M166" s="88">
        <v>45016</v>
      </c>
      <c r="N166" s="20">
        <v>60</v>
      </c>
      <c r="O166" s="19">
        <f t="shared" si="20"/>
        <v>100</v>
      </c>
      <c r="P166" s="19" t="str">
        <f t="shared" si="21"/>
        <v>UMUR HABIS</v>
      </c>
    </row>
    <row r="167" spans="1:16" ht="27" x14ac:dyDescent="0.35">
      <c r="A167" s="15">
        <f t="shared" si="19"/>
        <v>42</v>
      </c>
      <c r="B167" s="16" t="s">
        <v>442</v>
      </c>
      <c r="C167" s="19">
        <f t="shared" si="14"/>
        <v>31</v>
      </c>
      <c r="D167" s="19">
        <f t="shared" si="15"/>
        <v>3</v>
      </c>
      <c r="E167" s="19">
        <f t="shared" si="16"/>
        <v>2018</v>
      </c>
      <c r="F167" s="17">
        <v>43190</v>
      </c>
      <c r="G167" s="72" t="s">
        <v>443</v>
      </c>
      <c r="H167" s="72" t="s">
        <v>444</v>
      </c>
      <c r="I167" s="19">
        <v>14847</v>
      </c>
      <c r="J167" s="18" t="s">
        <v>113</v>
      </c>
      <c r="K167" s="20" t="s">
        <v>114</v>
      </c>
      <c r="L167" s="105">
        <v>0</v>
      </c>
      <c r="M167" s="88">
        <v>45016</v>
      </c>
      <c r="N167" s="20">
        <v>60</v>
      </c>
      <c r="O167" s="19">
        <f t="shared" si="20"/>
        <v>100</v>
      </c>
      <c r="P167" s="19" t="str">
        <f t="shared" si="21"/>
        <v>UMUR HABIS</v>
      </c>
    </row>
    <row r="168" spans="1:16" ht="27" x14ac:dyDescent="0.35">
      <c r="A168" s="15">
        <f t="shared" si="19"/>
        <v>43</v>
      </c>
      <c r="B168" s="16" t="s">
        <v>442</v>
      </c>
      <c r="C168" s="19">
        <f t="shared" si="14"/>
        <v>31</v>
      </c>
      <c r="D168" s="19">
        <f t="shared" si="15"/>
        <v>3</v>
      </c>
      <c r="E168" s="19">
        <f t="shared" si="16"/>
        <v>2018</v>
      </c>
      <c r="F168" s="17">
        <v>43190</v>
      </c>
      <c r="G168" s="72" t="s">
        <v>445</v>
      </c>
      <c r="H168" s="72" t="s">
        <v>446</v>
      </c>
      <c r="I168" s="19">
        <v>14848</v>
      </c>
      <c r="J168" s="18" t="s">
        <v>113</v>
      </c>
      <c r="K168" s="20" t="s">
        <v>114</v>
      </c>
      <c r="L168" s="105">
        <v>15185216.99</v>
      </c>
      <c r="M168" s="88">
        <v>45016</v>
      </c>
      <c r="N168" s="20">
        <v>60</v>
      </c>
      <c r="O168" s="19">
        <f t="shared" si="20"/>
        <v>100</v>
      </c>
      <c r="P168" s="19" t="str">
        <f t="shared" si="21"/>
        <v>UMUR HABIS</v>
      </c>
    </row>
    <row r="169" spans="1:16" ht="27" x14ac:dyDescent="0.35">
      <c r="A169" s="15">
        <f t="shared" si="19"/>
        <v>44</v>
      </c>
      <c r="B169" s="16" t="s">
        <v>442</v>
      </c>
      <c r="C169" s="19">
        <f t="shared" si="14"/>
        <v>31</v>
      </c>
      <c r="D169" s="19">
        <f t="shared" si="15"/>
        <v>3</v>
      </c>
      <c r="E169" s="19">
        <f t="shared" si="16"/>
        <v>2018</v>
      </c>
      <c r="F169" s="17">
        <v>43190</v>
      </c>
      <c r="G169" s="72" t="s">
        <v>447</v>
      </c>
      <c r="H169" s="72" t="s">
        <v>448</v>
      </c>
      <c r="I169" s="19">
        <v>14849</v>
      </c>
      <c r="J169" s="18" t="s">
        <v>24</v>
      </c>
      <c r="K169" s="20" t="s">
        <v>161</v>
      </c>
      <c r="L169" s="105">
        <v>15185216.99</v>
      </c>
      <c r="M169" s="88">
        <v>45016</v>
      </c>
      <c r="N169" s="20">
        <v>60</v>
      </c>
      <c r="O169" s="19">
        <f t="shared" si="20"/>
        <v>100</v>
      </c>
      <c r="P169" s="19" t="str">
        <f t="shared" si="21"/>
        <v>UMUR HABIS</v>
      </c>
    </row>
    <row r="170" spans="1:16" ht="27" x14ac:dyDescent="0.35">
      <c r="A170" s="15">
        <f t="shared" si="19"/>
        <v>45</v>
      </c>
      <c r="B170" s="16" t="s">
        <v>442</v>
      </c>
      <c r="C170" s="19">
        <f t="shared" si="14"/>
        <v>31</v>
      </c>
      <c r="D170" s="19">
        <f t="shared" si="15"/>
        <v>3</v>
      </c>
      <c r="E170" s="19">
        <f t="shared" si="16"/>
        <v>2018</v>
      </c>
      <c r="F170" s="17">
        <v>43190</v>
      </c>
      <c r="G170" s="72" t="s">
        <v>449</v>
      </c>
      <c r="H170" s="72" t="s">
        <v>450</v>
      </c>
      <c r="I170" s="19">
        <v>14850</v>
      </c>
      <c r="J170" s="18" t="s">
        <v>24</v>
      </c>
      <c r="K170" s="20" t="s">
        <v>98</v>
      </c>
      <c r="L170" s="105">
        <v>15185216.99</v>
      </c>
      <c r="M170" s="88">
        <v>45016</v>
      </c>
      <c r="N170" s="20">
        <v>60</v>
      </c>
      <c r="O170" s="19">
        <f t="shared" si="20"/>
        <v>100</v>
      </c>
      <c r="P170" s="19" t="str">
        <f t="shared" si="21"/>
        <v>UMUR HABIS</v>
      </c>
    </row>
    <row r="171" spans="1:16" ht="27" x14ac:dyDescent="0.35">
      <c r="A171" s="15">
        <f t="shared" si="19"/>
        <v>46</v>
      </c>
      <c r="B171" s="16" t="s">
        <v>451</v>
      </c>
      <c r="C171" s="19">
        <f t="shared" si="14"/>
        <v>25</v>
      </c>
      <c r="D171" s="19">
        <f t="shared" si="15"/>
        <v>6</v>
      </c>
      <c r="E171" s="19">
        <f t="shared" si="16"/>
        <v>2019</v>
      </c>
      <c r="F171" s="17">
        <v>43641</v>
      </c>
      <c r="G171" s="72" t="s">
        <v>452</v>
      </c>
      <c r="H171" s="72" t="s">
        <v>453</v>
      </c>
      <c r="I171" s="19">
        <v>14868</v>
      </c>
      <c r="J171" s="18" t="s">
        <v>24</v>
      </c>
      <c r="K171" s="20" t="s">
        <v>161</v>
      </c>
      <c r="L171" s="105">
        <v>19588000</v>
      </c>
      <c r="M171" s="88">
        <v>45468</v>
      </c>
      <c r="N171" s="20">
        <v>60</v>
      </c>
      <c r="O171" s="19">
        <f t="shared" si="20"/>
        <v>85</v>
      </c>
      <c r="P171" s="19" t="str">
        <f t="shared" si="21"/>
        <v>UMUR HABIS</v>
      </c>
    </row>
    <row r="172" spans="1:16" ht="27" x14ac:dyDescent="0.35">
      <c r="A172" s="15">
        <f t="shared" si="19"/>
        <v>47</v>
      </c>
      <c r="B172" s="16" t="s">
        <v>454</v>
      </c>
      <c r="C172" s="19">
        <f t="shared" si="14"/>
        <v>25</v>
      </c>
      <c r="D172" s="19">
        <f t="shared" si="15"/>
        <v>6</v>
      </c>
      <c r="E172" s="19">
        <f t="shared" si="16"/>
        <v>2019</v>
      </c>
      <c r="F172" s="17">
        <v>43641</v>
      </c>
      <c r="G172" s="72" t="s">
        <v>455</v>
      </c>
      <c r="H172" s="72" t="s">
        <v>456</v>
      </c>
      <c r="I172" s="19">
        <v>14869</v>
      </c>
      <c r="J172" s="18" t="s">
        <v>24</v>
      </c>
      <c r="K172" s="20" t="s">
        <v>76</v>
      </c>
      <c r="L172" s="105">
        <v>19940000</v>
      </c>
      <c r="M172" s="88">
        <v>45468</v>
      </c>
      <c r="N172" s="20">
        <v>60</v>
      </c>
      <c r="O172" s="19">
        <f t="shared" si="20"/>
        <v>85</v>
      </c>
      <c r="P172" s="19" t="str">
        <f t="shared" si="21"/>
        <v>UMUR HABIS</v>
      </c>
    </row>
    <row r="173" spans="1:16" ht="27" x14ac:dyDescent="0.35">
      <c r="A173" s="15">
        <f t="shared" si="19"/>
        <v>48</v>
      </c>
      <c r="B173" s="16" t="s">
        <v>457</v>
      </c>
      <c r="C173" s="19">
        <f t="shared" si="14"/>
        <v>26</v>
      </c>
      <c r="D173" s="19">
        <f t="shared" si="15"/>
        <v>6</v>
      </c>
      <c r="E173" s="19">
        <f t="shared" si="16"/>
        <v>2019</v>
      </c>
      <c r="F173" s="17">
        <v>43642</v>
      </c>
      <c r="G173" s="72" t="s">
        <v>458</v>
      </c>
      <c r="H173" s="72" t="s">
        <v>459</v>
      </c>
      <c r="I173" s="19">
        <v>14870</v>
      </c>
      <c r="J173" s="18" t="s">
        <v>24</v>
      </c>
      <c r="K173" s="20" t="s">
        <v>98</v>
      </c>
      <c r="L173" s="105">
        <v>5695000</v>
      </c>
      <c r="M173" s="88">
        <v>45469</v>
      </c>
      <c r="N173" s="20">
        <v>60</v>
      </c>
      <c r="O173" s="19">
        <f t="shared" si="20"/>
        <v>85</v>
      </c>
      <c r="P173" s="19" t="str">
        <f t="shared" si="21"/>
        <v>UMUR HABIS</v>
      </c>
    </row>
    <row r="174" spans="1:16" ht="27" x14ac:dyDescent="0.35">
      <c r="A174" s="15">
        <f t="shared" si="19"/>
        <v>49</v>
      </c>
      <c r="B174" s="16" t="s">
        <v>460</v>
      </c>
      <c r="C174" s="19">
        <f t="shared" si="14"/>
        <v>26</v>
      </c>
      <c r="D174" s="19">
        <f t="shared" si="15"/>
        <v>6</v>
      </c>
      <c r="E174" s="19">
        <f t="shared" si="16"/>
        <v>2019</v>
      </c>
      <c r="F174" s="17">
        <v>43642</v>
      </c>
      <c r="G174" s="72" t="s">
        <v>461</v>
      </c>
      <c r="H174" s="72" t="s">
        <v>462</v>
      </c>
      <c r="I174" s="19">
        <v>14871</v>
      </c>
      <c r="J174" s="18" t="s">
        <v>24</v>
      </c>
      <c r="K174" s="20" t="s">
        <v>98</v>
      </c>
      <c r="L174" s="105">
        <v>14990000</v>
      </c>
      <c r="M174" s="88">
        <v>45469</v>
      </c>
      <c r="N174" s="20">
        <v>60</v>
      </c>
      <c r="O174" s="19">
        <f t="shared" si="20"/>
        <v>85</v>
      </c>
      <c r="P174" s="19" t="str">
        <f t="shared" si="21"/>
        <v>UMUR HABIS</v>
      </c>
    </row>
    <row r="175" spans="1:16" ht="27" x14ac:dyDescent="0.35">
      <c r="A175" s="15">
        <f t="shared" si="19"/>
        <v>50</v>
      </c>
      <c r="B175" s="16" t="s">
        <v>463</v>
      </c>
      <c r="C175" s="19">
        <f t="shared" si="14"/>
        <v>12</v>
      </c>
      <c r="D175" s="19">
        <f t="shared" si="15"/>
        <v>6</v>
      </c>
      <c r="E175" s="19">
        <f t="shared" si="16"/>
        <v>2024</v>
      </c>
      <c r="F175" s="17">
        <v>45455</v>
      </c>
      <c r="G175" s="72" t="s">
        <v>464</v>
      </c>
      <c r="H175" s="72" t="s">
        <v>465</v>
      </c>
      <c r="I175" s="19">
        <v>15060</v>
      </c>
      <c r="J175" s="18" t="s">
        <v>24</v>
      </c>
      <c r="K175" s="20" t="s">
        <v>161</v>
      </c>
      <c r="L175" s="105">
        <v>5561100</v>
      </c>
      <c r="M175" s="88">
        <v>47281</v>
      </c>
      <c r="N175" s="20">
        <v>60</v>
      </c>
      <c r="O175" s="19">
        <f t="shared" si="20"/>
        <v>26</v>
      </c>
      <c r="P175" s="19">
        <f t="shared" si="21"/>
        <v>34</v>
      </c>
    </row>
    <row r="176" spans="1:16" ht="27" x14ac:dyDescent="0.35">
      <c r="A176" s="15">
        <f t="shared" si="19"/>
        <v>51</v>
      </c>
      <c r="B176" s="16" t="s">
        <v>814</v>
      </c>
      <c r="C176" s="19">
        <v>28</v>
      </c>
      <c r="D176" s="19">
        <v>9</v>
      </c>
      <c r="E176" s="19">
        <v>2025</v>
      </c>
      <c r="F176" s="103">
        <v>45928</v>
      </c>
      <c r="G176" s="72"/>
      <c r="H176" s="72" t="s">
        <v>815</v>
      </c>
      <c r="I176" s="19">
        <v>17635</v>
      </c>
      <c r="J176" s="18" t="s">
        <v>811</v>
      </c>
      <c r="K176" s="20"/>
      <c r="L176" s="105">
        <v>39499999</v>
      </c>
      <c r="M176" s="104">
        <v>47754</v>
      </c>
      <c r="N176" s="20">
        <v>60</v>
      </c>
      <c r="O176" s="19">
        <f t="shared" ref="O176" si="22">IF(F176="","",ROUND((($O$4-F176)*12/365),0))</f>
        <v>10</v>
      </c>
      <c r="P176" s="19">
        <f t="shared" ref="P176" si="23">IF(F176="","",IF(O176&gt;=N176,"UMUR HABIS",N176-O176))</f>
        <v>50</v>
      </c>
    </row>
    <row r="177" spans="1:16" x14ac:dyDescent="0.35">
      <c r="A177" s="15"/>
      <c r="B177" s="16"/>
      <c r="C177" s="32"/>
      <c r="D177" s="32"/>
      <c r="E177" s="32"/>
      <c r="F177" s="17"/>
      <c r="G177" s="72"/>
      <c r="H177" s="72"/>
      <c r="I177" s="19"/>
      <c r="J177" s="18"/>
      <c r="K177" s="20"/>
      <c r="L177" s="105"/>
      <c r="M177" s="88"/>
      <c r="N177" s="93"/>
      <c r="O177" s="32"/>
      <c r="P177" s="32"/>
    </row>
    <row r="178" spans="1:16" x14ac:dyDescent="0.35">
      <c r="A178" s="9" t="s">
        <v>466</v>
      </c>
      <c r="B178" s="10" t="s">
        <v>467</v>
      </c>
      <c r="C178" s="30"/>
      <c r="D178" s="30"/>
      <c r="E178" s="30"/>
      <c r="F178" s="17"/>
      <c r="G178" s="72"/>
      <c r="H178" s="72"/>
      <c r="I178" s="19"/>
      <c r="J178" s="18"/>
      <c r="K178" s="20"/>
      <c r="L178" s="105"/>
      <c r="M178" s="88"/>
      <c r="N178" s="93"/>
      <c r="O178" s="32"/>
      <c r="P178" s="32"/>
    </row>
    <row r="179" spans="1:16" ht="27" x14ac:dyDescent="0.35">
      <c r="A179" s="15">
        <v>1</v>
      </c>
      <c r="B179" s="16" t="s">
        <v>468</v>
      </c>
      <c r="C179" s="19">
        <f t="shared" ref="C179:C242" si="24">DAY(F179)</f>
        <v>13</v>
      </c>
      <c r="D179" s="19">
        <f t="shared" ref="D179:D242" si="25">MONTH(F179)</f>
        <v>10</v>
      </c>
      <c r="E179" s="19">
        <f t="shared" ref="E179:E242" si="26">YEAR(F179)</f>
        <v>2015</v>
      </c>
      <c r="F179" s="17">
        <v>42290</v>
      </c>
      <c r="G179" s="72" t="s">
        <v>469</v>
      </c>
      <c r="H179" s="72" t="s">
        <v>470</v>
      </c>
      <c r="I179" s="19">
        <v>14564</v>
      </c>
      <c r="J179" s="18" t="s">
        <v>24</v>
      </c>
      <c r="K179" s="20" t="s">
        <v>76</v>
      </c>
      <c r="L179" s="105">
        <v>14982000</v>
      </c>
      <c r="M179" s="88">
        <v>43021</v>
      </c>
      <c r="N179" s="20">
        <v>24</v>
      </c>
      <c r="O179" s="19">
        <f t="shared" ref="O179:O210" si="27">IF(F179="","",ROUND((($O$4-F179)*12/365),0))</f>
        <v>130</v>
      </c>
      <c r="P179" s="19" t="str">
        <f t="shared" ref="P179:P210" si="28">IF(F179="","",IF(O179&gt;=N179,"UMUR HABIS",N179-O179))</f>
        <v>UMUR HABIS</v>
      </c>
    </row>
    <row r="180" spans="1:16" ht="27" x14ac:dyDescent="0.35">
      <c r="A180" s="15">
        <f t="shared" ref="A180:A243" si="29">+A179+1</f>
        <v>2</v>
      </c>
      <c r="B180" s="16" t="s">
        <v>471</v>
      </c>
      <c r="C180" s="19">
        <f t="shared" si="24"/>
        <v>30</v>
      </c>
      <c r="D180" s="19">
        <f t="shared" si="25"/>
        <v>4</v>
      </c>
      <c r="E180" s="19">
        <f t="shared" si="26"/>
        <v>2016</v>
      </c>
      <c r="F180" s="17">
        <v>42490</v>
      </c>
      <c r="G180" s="72" t="s">
        <v>472</v>
      </c>
      <c r="H180" s="72" t="s">
        <v>473</v>
      </c>
      <c r="I180" s="19">
        <v>14568</v>
      </c>
      <c r="J180" s="18" t="s">
        <v>24</v>
      </c>
      <c r="K180" s="20" t="s">
        <v>174</v>
      </c>
      <c r="L180" s="105">
        <v>4994000</v>
      </c>
      <c r="M180" s="88">
        <v>43585</v>
      </c>
      <c r="N180" s="20">
        <v>36</v>
      </c>
      <c r="O180" s="19">
        <f t="shared" si="27"/>
        <v>123</v>
      </c>
      <c r="P180" s="19" t="str">
        <f t="shared" si="28"/>
        <v>UMUR HABIS</v>
      </c>
    </row>
    <row r="181" spans="1:16" ht="27" x14ac:dyDescent="0.35">
      <c r="A181" s="15">
        <f t="shared" si="29"/>
        <v>3</v>
      </c>
      <c r="B181" s="16" t="s">
        <v>471</v>
      </c>
      <c r="C181" s="19">
        <f t="shared" si="24"/>
        <v>31</v>
      </c>
      <c r="D181" s="19">
        <f t="shared" si="25"/>
        <v>8</v>
      </c>
      <c r="E181" s="19">
        <f t="shared" si="26"/>
        <v>2016</v>
      </c>
      <c r="F181" s="17">
        <v>42613</v>
      </c>
      <c r="G181" s="72"/>
      <c r="H181" s="72" t="s">
        <v>474</v>
      </c>
      <c r="I181" s="19">
        <v>14573</v>
      </c>
      <c r="J181" s="18" t="s">
        <v>475</v>
      </c>
      <c r="K181" s="18" t="s">
        <v>475</v>
      </c>
      <c r="L181" s="105">
        <v>0</v>
      </c>
      <c r="M181" s="88">
        <v>43708</v>
      </c>
      <c r="N181" s="20">
        <v>36</v>
      </c>
      <c r="O181" s="19">
        <f t="shared" si="27"/>
        <v>119</v>
      </c>
      <c r="P181" s="19" t="str">
        <f t="shared" si="28"/>
        <v>UMUR HABIS</v>
      </c>
    </row>
    <row r="182" spans="1:16" ht="27" x14ac:dyDescent="0.35">
      <c r="A182" s="15">
        <f t="shared" si="29"/>
        <v>4</v>
      </c>
      <c r="B182" s="16" t="s">
        <v>471</v>
      </c>
      <c r="C182" s="19">
        <f t="shared" si="24"/>
        <v>31</v>
      </c>
      <c r="D182" s="19">
        <f t="shared" si="25"/>
        <v>8</v>
      </c>
      <c r="E182" s="19">
        <f t="shared" si="26"/>
        <v>2016</v>
      </c>
      <c r="F182" s="17">
        <v>42613</v>
      </c>
      <c r="G182" s="72"/>
      <c r="H182" s="72" t="s">
        <v>474</v>
      </c>
      <c r="I182" s="19">
        <v>14574</v>
      </c>
      <c r="J182" s="18" t="s">
        <v>475</v>
      </c>
      <c r="K182" s="18" t="s">
        <v>475</v>
      </c>
      <c r="L182" s="105">
        <v>0</v>
      </c>
      <c r="M182" s="88">
        <v>43708</v>
      </c>
      <c r="N182" s="20">
        <v>36</v>
      </c>
      <c r="O182" s="19">
        <f t="shared" si="27"/>
        <v>119</v>
      </c>
      <c r="P182" s="19" t="str">
        <f t="shared" si="28"/>
        <v>UMUR HABIS</v>
      </c>
    </row>
    <row r="183" spans="1:16" ht="27" x14ac:dyDescent="0.35">
      <c r="A183" s="15">
        <f t="shared" si="29"/>
        <v>5</v>
      </c>
      <c r="B183" s="16" t="s">
        <v>471</v>
      </c>
      <c r="C183" s="19">
        <f t="shared" si="24"/>
        <v>31</v>
      </c>
      <c r="D183" s="19">
        <f t="shared" si="25"/>
        <v>8</v>
      </c>
      <c r="E183" s="19">
        <f t="shared" si="26"/>
        <v>2016</v>
      </c>
      <c r="F183" s="17">
        <v>42613</v>
      </c>
      <c r="G183" s="72"/>
      <c r="H183" s="72" t="s">
        <v>474</v>
      </c>
      <c r="I183" s="19">
        <v>14575</v>
      </c>
      <c r="J183" s="18" t="s">
        <v>475</v>
      </c>
      <c r="K183" s="18" t="s">
        <v>475</v>
      </c>
      <c r="L183" s="105">
        <v>0</v>
      </c>
      <c r="M183" s="88">
        <v>43708</v>
      </c>
      <c r="N183" s="20">
        <v>36</v>
      </c>
      <c r="O183" s="19">
        <f t="shared" si="27"/>
        <v>119</v>
      </c>
      <c r="P183" s="19" t="str">
        <f t="shared" si="28"/>
        <v>UMUR HABIS</v>
      </c>
    </row>
    <row r="184" spans="1:16" ht="27" x14ac:dyDescent="0.35">
      <c r="A184" s="15">
        <f t="shared" si="29"/>
        <v>6</v>
      </c>
      <c r="B184" s="16" t="s">
        <v>471</v>
      </c>
      <c r="C184" s="19">
        <f t="shared" si="24"/>
        <v>31</v>
      </c>
      <c r="D184" s="19">
        <f t="shared" si="25"/>
        <v>8</v>
      </c>
      <c r="E184" s="19">
        <f t="shared" si="26"/>
        <v>2016</v>
      </c>
      <c r="F184" s="17">
        <v>42613</v>
      </c>
      <c r="G184" s="72"/>
      <c r="H184" s="72" t="s">
        <v>474</v>
      </c>
      <c r="I184" s="19">
        <v>14576</v>
      </c>
      <c r="J184" s="18" t="s">
        <v>475</v>
      </c>
      <c r="K184" s="18" t="s">
        <v>475</v>
      </c>
      <c r="L184" s="105">
        <v>0</v>
      </c>
      <c r="M184" s="88">
        <v>43708</v>
      </c>
      <c r="N184" s="20">
        <v>36</v>
      </c>
      <c r="O184" s="19">
        <f t="shared" si="27"/>
        <v>119</v>
      </c>
      <c r="P184" s="19" t="str">
        <f t="shared" si="28"/>
        <v>UMUR HABIS</v>
      </c>
    </row>
    <row r="185" spans="1:16" ht="27" x14ac:dyDescent="0.35">
      <c r="A185" s="15">
        <f t="shared" si="29"/>
        <v>7</v>
      </c>
      <c r="B185" s="16" t="s">
        <v>476</v>
      </c>
      <c r="C185" s="19">
        <f t="shared" si="24"/>
        <v>31</v>
      </c>
      <c r="D185" s="19">
        <f t="shared" si="25"/>
        <v>12</v>
      </c>
      <c r="E185" s="19">
        <f t="shared" si="26"/>
        <v>2016</v>
      </c>
      <c r="F185" s="17">
        <v>42735</v>
      </c>
      <c r="G185" s="72" t="s">
        <v>477</v>
      </c>
      <c r="H185" s="72" t="s">
        <v>478</v>
      </c>
      <c r="I185" s="19">
        <v>14587</v>
      </c>
      <c r="J185" s="18" t="s">
        <v>24</v>
      </c>
      <c r="K185" s="20" t="s">
        <v>283</v>
      </c>
      <c r="L185" s="105">
        <v>4398000</v>
      </c>
      <c r="M185" s="88">
        <v>44561</v>
      </c>
      <c r="N185" s="20">
        <v>60</v>
      </c>
      <c r="O185" s="19">
        <f t="shared" si="27"/>
        <v>115</v>
      </c>
      <c r="P185" s="19" t="str">
        <f t="shared" si="28"/>
        <v>UMUR HABIS</v>
      </c>
    </row>
    <row r="186" spans="1:16" ht="27" x14ac:dyDescent="0.35">
      <c r="A186" s="15">
        <f t="shared" si="29"/>
        <v>8</v>
      </c>
      <c r="B186" s="16" t="s">
        <v>479</v>
      </c>
      <c r="C186" s="19">
        <f t="shared" si="24"/>
        <v>27</v>
      </c>
      <c r="D186" s="19">
        <f t="shared" si="25"/>
        <v>4</v>
      </c>
      <c r="E186" s="19">
        <f t="shared" si="26"/>
        <v>2020</v>
      </c>
      <c r="F186" s="17">
        <v>43948</v>
      </c>
      <c r="G186" s="72" t="s">
        <v>480</v>
      </c>
      <c r="H186" s="72" t="s">
        <v>481</v>
      </c>
      <c r="I186" s="19">
        <v>14692</v>
      </c>
      <c r="J186" s="18" t="s">
        <v>24</v>
      </c>
      <c r="K186" s="20" t="s">
        <v>482</v>
      </c>
      <c r="L186" s="105">
        <v>279000000</v>
      </c>
      <c r="M186" s="88">
        <v>47600</v>
      </c>
      <c r="N186" s="20">
        <v>120</v>
      </c>
      <c r="O186" s="19">
        <f t="shared" si="27"/>
        <v>75</v>
      </c>
      <c r="P186" s="19">
        <f t="shared" si="28"/>
        <v>45</v>
      </c>
    </row>
    <row r="187" spans="1:16" ht="27" x14ac:dyDescent="0.35">
      <c r="A187" s="15">
        <f t="shared" si="29"/>
        <v>9</v>
      </c>
      <c r="B187" s="16" t="s">
        <v>483</v>
      </c>
      <c r="C187" s="19">
        <f t="shared" si="24"/>
        <v>30</v>
      </c>
      <c r="D187" s="19">
        <f t="shared" si="25"/>
        <v>4</v>
      </c>
      <c r="E187" s="19">
        <f t="shared" si="26"/>
        <v>2020</v>
      </c>
      <c r="F187" s="17">
        <v>43951</v>
      </c>
      <c r="G187" s="72" t="s">
        <v>484</v>
      </c>
      <c r="H187" s="72" t="s">
        <v>485</v>
      </c>
      <c r="I187" s="19">
        <v>14694</v>
      </c>
      <c r="J187" s="18" t="s">
        <v>24</v>
      </c>
      <c r="K187" s="20" t="s">
        <v>89</v>
      </c>
      <c r="L187" s="105">
        <v>8100000</v>
      </c>
      <c r="M187" s="88">
        <v>45777</v>
      </c>
      <c r="N187" s="20">
        <v>60</v>
      </c>
      <c r="O187" s="19">
        <f t="shared" si="27"/>
        <v>75</v>
      </c>
      <c r="P187" s="19" t="str">
        <f t="shared" si="28"/>
        <v>UMUR HABIS</v>
      </c>
    </row>
    <row r="188" spans="1:16" ht="27" x14ac:dyDescent="0.35">
      <c r="A188" s="15">
        <f t="shared" si="29"/>
        <v>10</v>
      </c>
      <c r="B188" s="16" t="s">
        <v>486</v>
      </c>
      <c r="C188" s="19">
        <f t="shared" si="24"/>
        <v>30</v>
      </c>
      <c r="D188" s="19">
        <f t="shared" si="25"/>
        <v>6</v>
      </c>
      <c r="E188" s="19">
        <f t="shared" si="26"/>
        <v>2020</v>
      </c>
      <c r="F188" s="17">
        <v>44012</v>
      </c>
      <c r="G188" s="72" t="s">
        <v>487</v>
      </c>
      <c r="H188" s="72" t="s">
        <v>488</v>
      </c>
      <c r="I188" s="19">
        <v>14696</v>
      </c>
      <c r="J188" s="18" t="s">
        <v>24</v>
      </c>
      <c r="K188" s="20" t="s">
        <v>76</v>
      </c>
      <c r="L188" s="105">
        <v>90000000</v>
      </c>
      <c r="M188" s="88">
        <v>45838</v>
      </c>
      <c r="N188" s="20">
        <v>60</v>
      </c>
      <c r="O188" s="19">
        <f t="shared" si="27"/>
        <v>73</v>
      </c>
      <c r="P188" s="19" t="str">
        <f t="shared" si="28"/>
        <v>UMUR HABIS</v>
      </c>
    </row>
    <row r="189" spans="1:16" ht="27" x14ac:dyDescent="0.35">
      <c r="A189" s="15">
        <f t="shared" si="29"/>
        <v>11</v>
      </c>
      <c r="B189" s="16" t="s">
        <v>489</v>
      </c>
      <c r="C189" s="19">
        <f t="shared" si="24"/>
        <v>30</v>
      </c>
      <c r="D189" s="19">
        <f t="shared" si="25"/>
        <v>6</v>
      </c>
      <c r="E189" s="19">
        <f t="shared" si="26"/>
        <v>2020</v>
      </c>
      <c r="F189" s="17">
        <v>44012</v>
      </c>
      <c r="G189" s="72" t="s">
        <v>490</v>
      </c>
      <c r="H189" s="72" t="s">
        <v>491</v>
      </c>
      <c r="I189" s="19">
        <v>14698</v>
      </c>
      <c r="J189" s="18" t="s">
        <v>24</v>
      </c>
      <c r="K189" s="20" t="s">
        <v>492</v>
      </c>
      <c r="L189" s="105">
        <v>18700000</v>
      </c>
      <c r="M189" s="88">
        <v>44742</v>
      </c>
      <c r="N189" s="20">
        <v>24</v>
      </c>
      <c r="O189" s="19">
        <f t="shared" si="27"/>
        <v>73</v>
      </c>
      <c r="P189" s="19" t="str">
        <f t="shared" si="28"/>
        <v>UMUR HABIS</v>
      </c>
    </row>
    <row r="190" spans="1:16" ht="27" x14ac:dyDescent="0.35">
      <c r="A190" s="15">
        <f t="shared" si="29"/>
        <v>12</v>
      </c>
      <c r="B190" s="16" t="s">
        <v>489</v>
      </c>
      <c r="C190" s="19">
        <f t="shared" si="24"/>
        <v>30</v>
      </c>
      <c r="D190" s="19">
        <f t="shared" si="25"/>
        <v>6</v>
      </c>
      <c r="E190" s="19">
        <f t="shared" si="26"/>
        <v>2020</v>
      </c>
      <c r="F190" s="17">
        <v>44012</v>
      </c>
      <c r="G190" s="72" t="s">
        <v>493</v>
      </c>
      <c r="H190" s="72" t="s">
        <v>494</v>
      </c>
      <c r="I190" s="19">
        <v>14699</v>
      </c>
      <c r="J190" s="18" t="s">
        <v>24</v>
      </c>
      <c r="K190" s="20" t="s">
        <v>492</v>
      </c>
      <c r="L190" s="105">
        <v>18700000</v>
      </c>
      <c r="M190" s="88">
        <v>44742</v>
      </c>
      <c r="N190" s="20">
        <v>24</v>
      </c>
      <c r="O190" s="19">
        <f t="shared" si="27"/>
        <v>73</v>
      </c>
      <c r="P190" s="19" t="str">
        <f t="shared" si="28"/>
        <v>UMUR HABIS</v>
      </c>
    </row>
    <row r="191" spans="1:16" ht="27" x14ac:dyDescent="0.35">
      <c r="A191" s="15">
        <f t="shared" si="29"/>
        <v>13</v>
      </c>
      <c r="B191" s="16" t="s">
        <v>495</v>
      </c>
      <c r="C191" s="19">
        <f t="shared" si="24"/>
        <v>30</v>
      </c>
      <c r="D191" s="19">
        <f t="shared" si="25"/>
        <v>6</v>
      </c>
      <c r="E191" s="19">
        <f t="shared" si="26"/>
        <v>2020</v>
      </c>
      <c r="F191" s="17">
        <v>44012</v>
      </c>
      <c r="G191" s="72" t="s">
        <v>493</v>
      </c>
      <c r="H191" s="72" t="s">
        <v>494</v>
      </c>
      <c r="I191" s="19">
        <v>14700</v>
      </c>
      <c r="J191" s="18" t="s">
        <v>24</v>
      </c>
      <c r="K191" s="20" t="s">
        <v>492</v>
      </c>
      <c r="L191" s="105">
        <v>286000000</v>
      </c>
      <c r="M191" s="88">
        <v>45838</v>
      </c>
      <c r="N191" s="20">
        <v>60</v>
      </c>
      <c r="O191" s="19">
        <f t="shared" si="27"/>
        <v>73</v>
      </c>
      <c r="P191" s="19" t="str">
        <f t="shared" si="28"/>
        <v>UMUR HABIS</v>
      </c>
    </row>
    <row r="192" spans="1:16" ht="27" x14ac:dyDescent="0.35">
      <c r="A192" s="15">
        <f t="shared" si="29"/>
        <v>14</v>
      </c>
      <c r="B192" s="16" t="s">
        <v>496</v>
      </c>
      <c r="C192" s="19">
        <f t="shared" si="24"/>
        <v>11</v>
      </c>
      <c r="D192" s="19">
        <f t="shared" si="25"/>
        <v>10</v>
      </c>
      <c r="E192" s="19">
        <f t="shared" si="26"/>
        <v>2010</v>
      </c>
      <c r="F192" s="17">
        <v>40462</v>
      </c>
      <c r="G192" s="72" t="s">
        <v>497</v>
      </c>
      <c r="H192" s="72" t="s">
        <v>498</v>
      </c>
      <c r="I192" s="19">
        <v>14701</v>
      </c>
      <c r="J192" s="18" t="s">
        <v>113</v>
      </c>
      <c r="K192" s="20" t="s">
        <v>114</v>
      </c>
      <c r="L192" s="105">
        <v>0</v>
      </c>
      <c r="M192" s="88">
        <v>42288</v>
      </c>
      <c r="N192" s="20">
        <v>60</v>
      </c>
      <c r="O192" s="19">
        <f t="shared" si="27"/>
        <v>190</v>
      </c>
      <c r="P192" s="19" t="str">
        <f t="shared" si="28"/>
        <v>UMUR HABIS</v>
      </c>
    </row>
    <row r="193" spans="1:16" ht="27" x14ac:dyDescent="0.35">
      <c r="A193" s="15">
        <f t="shared" si="29"/>
        <v>15</v>
      </c>
      <c r="B193" s="16" t="s">
        <v>496</v>
      </c>
      <c r="C193" s="19">
        <f t="shared" si="24"/>
        <v>11</v>
      </c>
      <c r="D193" s="19">
        <f t="shared" si="25"/>
        <v>10</v>
      </c>
      <c r="E193" s="19">
        <f t="shared" si="26"/>
        <v>2010</v>
      </c>
      <c r="F193" s="17">
        <v>40462</v>
      </c>
      <c r="G193" s="72" t="s">
        <v>499</v>
      </c>
      <c r="H193" s="72" t="s">
        <v>500</v>
      </c>
      <c r="I193" s="19">
        <v>14702</v>
      </c>
      <c r="J193" s="18" t="s">
        <v>113</v>
      </c>
      <c r="K193" s="20" t="s">
        <v>114</v>
      </c>
      <c r="L193" s="105">
        <v>0</v>
      </c>
      <c r="M193" s="88">
        <v>42288</v>
      </c>
      <c r="N193" s="20">
        <v>60</v>
      </c>
      <c r="O193" s="19">
        <f t="shared" si="27"/>
        <v>190</v>
      </c>
      <c r="P193" s="19" t="str">
        <f t="shared" si="28"/>
        <v>UMUR HABIS</v>
      </c>
    </row>
    <row r="194" spans="1:16" ht="27" x14ac:dyDescent="0.35">
      <c r="A194" s="15">
        <f t="shared" si="29"/>
        <v>16</v>
      </c>
      <c r="B194" s="16" t="s">
        <v>366</v>
      </c>
      <c r="C194" s="19">
        <f t="shared" si="24"/>
        <v>18</v>
      </c>
      <c r="D194" s="19">
        <f t="shared" si="25"/>
        <v>11</v>
      </c>
      <c r="E194" s="19">
        <f t="shared" si="26"/>
        <v>2013</v>
      </c>
      <c r="F194" s="17">
        <v>41596</v>
      </c>
      <c r="G194" s="72" t="s">
        <v>501</v>
      </c>
      <c r="H194" s="72" t="s">
        <v>502</v>
      </c>
      <c r="I194" s="19">
        <v>14703</v>
      </c>
      <c r="J194" s="18" t="s">
        <v>113</v>
      </c>
      <c r="K194" s="20" t="s">
        <v>127</v>
      </c>
      <c r="L194" s="105">
        <v>12717466.67</v>
      </c>
      <c r="M194" s="88">
        <v>42692</v>
      </c>
      <c r="N194" s="20">
        <v>36</v>
      </c>
      <c r="O194" s="19">
        <f t="shared" si="27"/>
        <v>152</v>
      </c>
      <c r="P194" s="19" t="str">
        <f t="shared" si="28"/>
        <v>UMUR HABIS</v>
      </c>
    </row>
    <row r="195" spans="1:16" ht="27" x14ac:dyDescent="0.35">
      <c r="A195" s="15">
        <f t="shared" si="29"/>
        <v>17</v>
      </c>
      <c r="B195" s="16" t="s">
        <v>366</v>
      </c>
      <c r="C195" s="19">
        <f t="shared" si="24"/>
        <v>28</v>
      </c>
      <c r="D195" s="19">
        <f t="shared" si="25"/>
        <v>5</v>
      </c>
      <c r="E195" s="19">
        <f t="shared" si="26"/>
        <v>2015</v>
      </c>
      <c r="F195" s="17">
        <v>42152</v>
      </c>
      <c r="G195" s="72" t="s">
        <v>503</v>
      </c>
      <c r="H195" s="72" t="s">
        <v>504</v>
      </c>
      <c r="I195" s="19">
        <v>14704</v>
      </c>
      <c r="J195" s="18" t="s">
        <v>24</v>
      </c>
      <c r="K195" s="20" t="s">
        <v>38</v>
      </c>
      <c r="L195" s="105">
        <v>11455640</v>
      </c>
      <c r="M195" s="88">
        <v>43248</v>
      </c>
      <c r="N195" s="20">
        <v>36</v>
      </c>
      <c r="O195" s="19">
        <f t="shared" si="27"/>
        <v>134</v>
      </c>
      <c r="P195" s="19" t="str">
        <f t="shared" si="28"/>
        <v>UMUR HABIS</v>
      </c>
    </row>
    <row r="196" spans="1:16" ht="17.25" customHeight="1" x14ac:dyDescent="0.35">
      <c r="A196" s="15">
        <f t="shared" si="29"/>
        <v>18</v>
      </c>
      <c r="B196" s="16" t="s">
        <v>366</v>
      </c>
      <c r="C196" s="19">
        <f t="shared" si="24"/>
        <v>28</v>
      </c>
      <c r="D196" s="19">
        <f t="shared" si="25"/>
        <v>5</v>
      </c>
      <c r="E196" s="19">
        <f t="shared" si="26"/>
        <v>2015</v>
      </c>
      <c r="F196" s="17">
        <v>42152</v>
      </c>
      <c r="G196" s="72" t="s">
        <v>505</v>
      </c>
      <c r="H196" s="72" t="s">
        <v>506</v>
      </c>
      <c r="I196" s="19">
        <v>14705</v>
      </c>
      <c r="J196" s="18" t="s">
        <v>24</v>
      </c>
      <c r="K196" s="20" t="s">
        <v>127</v>
      </c>
      <c r="L196" s="105">
        <v>11455640</v>
      </c>
      <c r="M196" s="88">
        <v>43248</v>
      </c>
      <c r="N196" s="20">
        <v>36</v>
      </c>
      <c r="O196" s="19">
        <f t="shared" si="27"/>
        <v>134</v>
      </c>
      <c r="P196" s="19" t="str">
        <f t="shared" si="28"/>
        <v>UMUR HABIS</v>
      </c>
    </row>
    <row r="197" spans="1:16" ht="27" x14ac:dyDescent="0.35">
      <c r="A197" s="15">
        <f t="shared" si="29"/>
        <v>19</v>
      </c>
      <c r="B197" s="16" t="s">
        <v>366</v>
      </c>
      <c r="C197" s="19">
        <f t="shared" si="24"/>
        <v>30</v>
      </c>
      <c r="D197" s="19">
        <f t="shared" si="25"/>
        <v>11</v>
      </c>
      <c r="E197" s="19">
        <f t="shared" si="26"/>
        <v>2016</v>
      </c>
      <c r="F197" s="17">
        <v>42704</v>
      </c>
      <c r="G197" s="72" t="s">
        <v>507</v>
      </c>
      <c r="H197" s="72" t="s">
        <v>508</v>
      </c>
      <c r="I197" s="19">
        <v>14706</v>
      </c>
      <c r="J197" s="18" t="s">
        <v>509</v>
      </c>
      <c r="K197" s="20" t="s">
        <v>127</v>
      </c>
      <c r="L197" s="105">
        <v>9873600</v>
      </c>
      <c r="M197" s="88">
        <v>43799</v>
      </c>
      <c r="N197" s="20">
        <v>36</v>
      </c>
      <c r="O197" s="19">
        <f t="shared" si="27"/>
        <v>116</v>
      </c>
      <c r="P197" s="19" t="str">
        <f t="shared" si="28"/>
        <v>UMUR HABIS</v>
      </c>
    </row>
    <row r="198" spans="1:16" ht="27" x14ac:dyDescent="0.35">
      <c r="A198" s="15">
        <f t="shared" si="29"/>
        <v>20</v>
      </c>
      <c r="B198" s="16" t="s">
        <v>366</v>
      </c>
      <c r="C198" s="19">
        <f t="shared" si="24"/>
        <v>11</v>
      </c>
      <c r="D198" s="19">
        <f t="shared" si="25"/>
        <v>6</v>
      </c>
      <c r="E198" s="19">
        <f t="shared" si="26"/>
        <v>2014</v>
      </c>
      <c r="F198" s="17">
        <v>41801</v>
      </c>
      <c r="G198" s="72" t="s">
        <v>510</v>
      </c>
      <c r="H198" s="72" t="s">
        <v>511</v>
      </c>
      <c r="I198" s="19">
        <v>14707</v>
      </c>
      <c r="J198" s="18" t="s">
        <v>509</v>
      </c>
      <c r="K198" s="20" t="s">
        <v>127</v>
      </c>
      <c r="L198" s="105">
        <v>11455640</v>
      </c>
      <c r="M198" s="88">
        <v>42897</v>
      </c>
      <c r="N198" s="20">
        <v>36</v>
      </c>
      <c r="O198" s="19">
        <f t="shared" si="27"/>
        <v>146</v>
      </c>
      <c r="P198" s="19" t="str">
        <f t="shared" si="28"/>
        <v>UMUR HABIS</v>
      </c>
    </row>
    <row r="199" spans="1:16" ht="27" x14ac:dyDescent="0.35">
      <c r="A199" s="15">
        <f t="shared" si="29"/>
        <v>21</v>
      </c>
      <c r="B199" s="16" t="s">
        <v>366</v>
      </c>
      <c r="C199" s="19">
        <f t="shared" si="24"/>
        <v>11</v>
      </c>
      <c r="D199" s="19">
        <f t="shared" si="25"/>
        <v>6</v>
      </c>
      <c r="E199" s="19">
        <f t="shared" si="26"/>
        <v>2014</v>
      </c>
      <c r="F199" s="17">
        <v>41801</v>
      </c>
      <c r="G199" s="72" t="s">
        <v>512</v>
      </c>
      <c r="H199" s="72" t="s">
        <v>513</v>
      </c>
      <c r="I199" s="19">
        <v>14708</v>
      </c>
      <c r="J199" s="18" t="s">
        <v>24</v>
      </c>
      <c r="K199" s="20" t="s">
        <v>89</v>
      </c>
      <c r="L199" s="105">
        <v>11455640</v>
      </c>
      <c r="M199" s="88">
        <v>42897</v>
      </c>
      <c r="N199" s="20">
        <v>36</v>
      </c>
      <c r="O199" s="19">
        <f t="shared" si="27"/>
        <v>146</v>
      </c>
      <c r="P199" s="19" t="str">
        <f t="shared" si="28"/>
        <v>UMUR HABIS</v>
      </c>
    </row>
    <row r="200" spans="1:16" ht="27" x14ac:dyDescent="0.35">
      <c r="A200" s="15">
        <f t="shared" si="29"/>
        <v>22</v>
      </c>
      <c r="B200" s="16" t="s">
        <v>366</v>
      </c>
      <c r="C200" s="19">
        <f t="shared" si="24"/>
        <v>11</v>
      </c>
      <c r="D200" s="19">
        <f t="shared" si="25"/>
        <v>6</v>
      </c>
      <c r="E200" s="19">
        <f t="shared" si="26"/>
        <v>2014</v>
      </c>
      <c r="F200" s="17">
        <v>41801</v>
      </c>
      <c r="G200" s="72" t="s">
        <v>514</v>
      </c>
      <c r="H200" s="72" t="s">
        <v>515</v>
      </c>
      <c r="I200" s="19">
        <v>14709</v>
      </c>
      <c r="J200" s="18" t="s">
        <v>24</v>
      </c>
      <c r="K200" s="20" t="s">
        <v>516</v>
      </c>
      <c r="L200" s="105">
        <v>11455640</v>
      </c>
      <c r="M200" s="88">
        <v>42897</v>
      </c>
      <c r="N200" s="20">
        <v>36</v>
      </c>
      <c r="O200" s="19">
        <f t="shared" si="27"/>
        <v>146</v>
      </c>
      <c r="P200" s="19" t="str">
        <f t="shared" si="28"/>
        <v>UMUR HABIS</v>
      </c>
    </row>
    <row r="201" spans="1:16" ht="27" x14ac:dyDescent="0.35">
      <c r="A201" s="15">
        <f t="shared" si="29"/>
        <v>23</v>
      </c>
      <c r="B201" s="16" t="s">
        <v>366</v>
      </c>
      <c r="C201" s="19">
        <f t="shared" si="24"/>
        <v>28</v>
      </c>
      <c r="D201" s="19">
        <f t="shared" si="25"/>
        <v>9</v>
      </c>
      <c r="E201" s="19">
        <f t="shared" si="26"/>
        <v>2016</v>
      </c>
      <c r="F201" s="17">
        <v>42641</v>
      </c>
      <c r="G201" s="72" t="s">
        <v>517</v>
      </c>
      <c r="H201" s="72" t="s">
        <v>518</v>
      </c>
      <c r="I201" s="19">
        <v>14711</v>
      </c>
      <c r="J201" s="18" t="s">
        <v>24</v>
      </c>
      <c r="K201" s="20" t="s">
        <v>60</v>
      </c>
      <c r="L201" s="105">
        <v>9867000</v>
      </c>
      <c r="M201" s="88">
        <v>43736</v>
      </c>
      <c r="N201" s="20">
        <v>36</v>
      </c>
      <c r="O201" s="19">
        <f t="shared" si="27"/>
        <v>118</v>
      </c>
      <c r="P201" s="19" t="str">
        <f t="shared" si="28"/>
        <v>UMUR HABIS</v>
      </c>
    </row>
    <row r="202" spans="1:16" ht="27" x14ac:dyDescent="0.35">
      <c r="A202" s="15">
        <f t="shared" si="29"/>
        <v>24</v>
      </c>
      <c r="B202" s="16" t="s">
        <v>366</v>
      </c>
      <c r="C202" s="19">
        <f t="shared" si="24"/>
        <v>28</v>
      </c>
      <c r="D202" s="19">
        <f t="shared" si="25"/>
        <v>9</v>
      </c>
      <c r="E202" s="19">
        <f t="shared" si="26"/>
        <v>2016</v>
      </c>
      <c r="F202" s="17">
        <v>42641</v>
      </c>
      <c r="G202" s="72" t="s">
        <v>519</v>
      </c>
      <c r="H202" s="72" t="s">
        <v>520</v>
      </c>
      <c r="I202" s="19">
        <v>14712</v>
      </c>
      <c r="J202" s="18" t="s">
        <v>24</v>
      </c>
      <c r="K202" s="20" t="s">
        <v>38</v>
      </c>
      <c r="L202" s="105">
        <v>9867000</v>
      </c>
      <c r="M202" s="88">
        <v>43736</v>
      </c>
      <c r="N202" s="20">
        <v>36</v>
      </c>
      <c r="O202" s="19">
        <f t="shared" si="27"/>
        <v>118</v>
      </c>
      <c r="P202" s="19" t="str">
        <f t="shared" si="28"/>
        <v>UMUR HABIS</v>
      </c>
    </row>
    <row r="203" spans="1:16" ht="27" x14ac:dyDescent="0.35">
      <c r="A203" s="15">
        <f t="shared" si="29"/>
        <v>25</v>
      </c>
      <c r="B203" s="16" t="s">
        <v>366</v>
      </c>
      <c r="C203" s="19">
        <f t="shared" si="24"/>
        <v>30</v>
      </c>
      <c r="D203" s="19">
        <f t="shared" si="25"/>
        <v>11</v>
      </c>
      <c r="E203" s="19">
        <f t="shared" si="26"/>
        <v>2016</v>
      </c>
      <c r="F203" s="17">
        <v>42704</v>
      </c>
      <c r="G203" s="72" t="s">
        <v>521</v>
      </c>
      <c r="H203" s="72" t="s">
        <v>522</v>
      </c>
      <c r="I203" s="19">
        <v>14737</v>
      </c>
      <c r="J203" s="18" t="s">
        <v>24</v>
      </c>
      <c r="K203" s="20" t="s">
        <v>38</v>
      </c>
      <c r="L203" s="105">
        <v>9873600</v>
      </c>
      <c r="M203" s="88">
        <v>43799</v>
      </c>
      <c r="N203" s="20">
        <v>36</v>
      </c>
      <c r="O203" s="19">
        <f t="shared" si="27"/>
        <v>116</v>
      </c>
      <c r="P203" s="19" t="str">
        <f t="shared" si="28"/>
        <v>UMUR HABIS</v>
      </c>
    </row>
    <row r="204" spans="1:16" ht="27" x14ac:dyDescent="0.35">
      <c r="A204" s="15">
        <f t="shared" si="29"/>
        <v>26</v>
      </c>
      <c r="B204" s="16" t="s">
        <v>366</v>
      </c>
      <c r="C204" s="19">
        <f t="shared" si="24"/>
        <v>28</v>
      </c>
      <c r="D204" s="19">
        <f t="shared" si="25"/>
        <v>5</v>
      </c>
      <c r="E204" s="19">
        <f t="shared" si="26"/>
        <v>2015</v>
      </c>
      <c r="F204" s="17">
        <v>42152</v>
      </c>
      <c r="G204" s="72" t="s">
        <v>523</v>
      </c>
      <c r="H204" s="72" t="s">
        <v>524</v>
      </c>
      <c r="I204" s="19">
        <v>14738</v>
      </c>
      <c r="J204" s="18" t="s">
        <v>24</v>
      </c>
      <c r="K204" s="20" t="s">
        <v>38</v>
      </c>
      <c r="L204" s="105">
        <v>5989500</v>
      </c>
      <c r="M204" s="88">
        <v>43248</v>
      </c>
      <c r="N204" s="20">
        <v>36</v>
      </c>
      <c r="O204" s="19">
        <f t="shared" si="27"/>
        <v>134</v>
      </c>
      <c r="P204" s="19" t="str">
        <f t="shared" si="28"/>
        <v>UMUR HABIS</v>
      </c>
    </row>
    <row r="205" spans="1:16" ht="27" x14ac:dyDescent="0.35">
      <c r="A205" s="15">
        <f t="shared" si="29"/>
        <v>27</v>
      </c>
      <c r="B205" s="16" t="s">
        <v>366</v>
      </c>
      <c r="C205" s="19">
        <f t="shared" si="24"/>
        <v>28</v>
      </c>
      <c r="D205" s="19">
        <f t="shared" si="25"/>
        <v>5</v>
      </c>
      <c r="E205" s="19">
        <f t="shared" si="26"/>
        <v>2015</v>
      </c>
      <c r="F205" s="17">
        <v>42152</v>
      </c>
      <c r="G205" s="72" t="s">
        <v>525</v>
      </c>
      <c r="H205" s="72" t="s">
        <v>526</v>
      </c>
      <c r="I205" s="19">
        <v>14739</v>
      </c>
      <c r="J205" s="18" t="s">
        <v>24</v>
      </c>
      <c r="K205" s="20" t="s">
        <v>38</v>
      </c>
      <c r="L205" s="105">
        <v>5989500</v>
      </c>
      <c r="M205" s="88">
        <v>43248</v>
      </c>
      <c r="N205" s="20">
        <v>36</v>
      </c>
      <c r="O205" s="19">
        <f t="shared" si="27"/>
        <v>134</v>
      </c>
      <c r="P205" s="19" t="str">
        <f t="shared" si="28"/>
        <v>UMUR HABIS</v>
      </c>
    </row>
    <row r="206" spans="1:16" ht="27" x14ac:dyDescent="0.35">
      <c r="A206" s="15">
        <f t="shared" si="29"/>
        <v>28</v>
      </c>
      <c r="B206" s="16" t="s">
        <v>366</v>
      </c>
      <c r="C206" s="19">
        <f t="shared" si="24"/>
        <v>26</v>
      </c>
      <c r="D206" s="19">
        <f t="shared" si="25"/>
        <v>4</v>
      </c>
      <c r="E206" s="19">
        <f t="shared" si="26"/>
        <v>2016</v>
      </c>
      <c r="F206" s="17">
        <v>42486</v>
      </c>
      <c r="G206" s="72" t="s">
        <v>527</v>
      </c>
      <c r="H206" s="72" t="s">
        <v>528</v>
      </c>
      <c r="I206" s="19">
        <v>14740</v>
      </c>
      <c r="J206" s="18" t="s">
        <v>24</v>
      </c>
      <c r="K206" s="20" t="s">
        <v>38</v>
      </c>
      <c r="L206" s="105">
        <v>9873600</v>
      </c>
      <c r="M206" s="88">
        <v>43581</v>
      </c>
      <c r="N206" s="20">
        <v>36</v>
      </c>
      <c r="O206" s="19">
        <f t="shared" si="27"/>
        <v>123</v>
      </c>
      <c r="P206" s="19" t="str">
        <f t="shared" si="28"/>
        <v>UMUR HABIS</v>
      </c>
    </row>
    <row r="207" spans="1:16" ht="27" x14ac:dyDescent="0.35">
      <c r="A207" s="15">
        <f t="shared" si="29"/>
        <v>29</v>
      </c>
      <c r="B207" s="16" t="s">
        <v>366</v>
      </c>
      <c r="C207" s="19">
        <f t="shared" si="24"/>
        <v>28</v>
      </c>
      <c r="D207" s="19">
        <f t="shared" si="25"/>
        <v>5</v>
      </c>
      <c r="E207" s="19">
        <f t="shared" si="26"/>
        <v>2015</v>
      </c>
      <c r="F207" s="17">
        <v>42152</v>
      </c>
      <c r="G207" s="72" t="s">
        <v>529</v>
      </c>
      <c r="H207" s="72" t="s">
        <v>530</v>
      </c>
      <c r="I207" s="19">
        <v>14744</v>
      </c>
      <c r="J207" s="18" t="s">
        <v>24</v>
      </c>
      <c r="K207" s="20" t="s">
        <v>38</v>
      </c>
      <c r="L207" s="105">
        <v>8806600</v>
      </c>
      <c r="M207" s="88">
        <v>43248</v>
      </c>
      <c r="N207" s="20">
        <v>36</v>
      </c>
      <c r="O207" s="19">
        <f t="shared" si="27"/>
        <v>134</v>
      </c>
      <c r="P207" s="19" t="str">
        <f t="shared" si="28"/>
        <v>UMUR HABIS</v>
      </c>
    </row>
    <row r="208" spans="1:16" ht="27" x14ac:dyDescent="0.35">
      <c r="A208" s="15">
        <f t="shared" si="29"/>
        <v>30</v>
      </c>
      <c r="B208" s="16" t="s">
        <v>531</v>
      </c>
      <c r="C208" s="19">
        <f t="shared" si="24"/>
        <v>29</v>
      </c>
      <c r="D208" s="19">
        <f t="shared" si="25"/>
        <v>8</v>
      </c>
      <c r="E208" s="19">
        <f t="shared" si="26"/>
        <v>2008</v>
      </c>
      <c r="F208" s="17">
        <v>39689</v>
      </c>
      <c r="G208" s="72" t="s">
        <v>532</v>
      </c>
      <c r="H208" s="72" t="s">
        <v>533</v>
      </c>
      <c r="I208" s="19">
        <v>14750</v>
      </c>
      <c r="J208" s="18" t="s">
        <v>24</v>
      </c>
      <c r="K208" s="20" t="s">
        <v>534</v>
      </c>
      <c r="L208" s="105">
        <v>6985000</v>
      </c>
      <c r="M208" s="88">
        <v>41515</v>
      </c>
      <c r="N208" s="20">
        <v>60</v>
      </c>
      <c r="O208" s="19">
        <f t="shared" si="27"/>
        <v>215</v>
      </c>
      <c r="P208" s="19" t="str">
        <f t="shared" si="28"/>
        <v>UMUR HABIS</v>
      </c>
    </row>
    <row r="209" spans="1:16" ht="27" x14ac:dyDescent="0.35">
      <c r="A209" s="15">
        <f t="shared" si="29"/>
        <v>31</v>
      </c>
      <c r="B209" s="16" t="s">
        <v>535</v>
      </c>
      <c r="C209" s="19">
        <f t="shared" si="24"/>
        <v>10</v>
      </c>
      <c r="D209" s="19">
        <f t="shared" si="25"/>
        <v>12</v>
      </c>
      <c r="E209" s="19">
        <f t="shared" si="26"/>
        <v>2021</v>
      </c>
      <c r="F209" s="17">
        <v>44540</v>
      </c>
      <c r="G209" s="72" t="s">
        <v>536</v>
      </c>
      <c r="H209" s="72" t="s">
        <v>537</v>
      </c>
      <c r="I209" s="19">
        <v>14772</v>
      </c>
      <c r="J209" s="18" t="s">
        <v>24</v>
      </c>
      <c r="K209" s="20" t="s">
        <v>283</v>
      </c>
      <c r="L209" s="105">
        <v>6600000</v>
      </c>
      <c r="M209" s="88">
        <v>46366</v>
      </c>
      <c r="N209" s="20">
        <v>60</v>
      </c>
      <c r="O209" s="19">
        <f t="shared" si="27"/>
        <v>56</v>
      </c>
      <c r="P209" s="19">
        <f t="shared" si="28"/>
        <v>4</v>
      </c>
    </row>
    <row r="210" spans="1:16" ht="27" x14ac:dyDescent="0.35">
      <c r="A210" s="15">
        <f t="shared" si="29"/>
        <v>32</v>
      </c>
      <c r="B210" s="16" t="s">
        <v>538</v>
      </c>
      <c r="C210" s="19">
        <f t="shared" si="24"/>
        <v>20</v>
      </c>
      <c r="D210" s="19">
        <f t="shared" si="25"/>
        <v>4</v>
      </c>
      <c r="E210" s="19">
        <f t="shared" si="26"/>
        <v>2022</v>
      </c>
      <c r="F210" s="17">
        <v>44671</v>
      </c>
      <c r="G210" s="72" t="s">
        <v>539</v>
      </c>
      <c r="H210" s="72" t="s">
        <v>540</v>
      </c>
      <c r="I210" s="19">
        <v>14781</v>
      </c>
      <c r="J210" s="18" t="s">
        <v>24</v>
      </c>
      <c r="K210" s="20" t="s">
        <v>76</v>
      </c>
      <c r="L210" s="105">
        <v>22999200</v>
      </c>
      <c r="M210" s="88">
        <v>46497</v>
      </c>
      <c r="N210" s="20">
        <v>60</v>
      </c>
      <c r="O210" s="19">
        <f t="shared" si="27"/>
        <v>51</v>
      </c>
      <c r="P210" s="19">
        <f t="shared" si="28"/>
        <v>9</v>
      </c>
    </row>
    <row r="211" spans="1:16" ht="27" x14ac:dyDescent="0.35">
      <c r="A211" s="15">
        <f t="shared" si="29"/>
        <v>33</v>
      </c>
      <c r="B211" s="16" t="s">
        <v>541</v>
      </c>
      <c r="C211" s="19">
        <f t="shared" si="24"/>
        <v>27</v>
      </c>
      <c r="D211" s="19">
        <f t="shared" si="25"/>
        <v>4</v>
      </c>
      <c r="E211" s="19">
        <f t="shared" si="26"/>
        <v>2023</v>
      </c>
      <c r="F211" s="17">
        <v>45043</v>
      </c>
      <c r="G211" s="72" t="s">
        <v>542</v>
      </c>
      <c r="H211" s="72" t="s">
        <v>543</v>
      </c>
      <c r="I211" s="19">
        <v>14784</v>
      </c>
      <c r="J211" s="18" t="s">
        <v>24</v>
      </c>
      <c r="K211" s="20" t="s">
        <v>544</v>
      </c>
      <c r="L211" s="105">
        <v>12765000</v>
      </c>
      <c r="M211" s="88">
        <v>46139</v>
      </c>
      <c r="N211" s="20">
        <v>36</v>
      </c>
      <c r="O211" s="19">
        <f t="shared" ref="O211:O242" si="30">IF(F211="","",ROUND((($O$4-F211)*12/365),0))</f>
        <v>39</v>
      </c>
      <c r="P211" s="19" t="str">
        <f t="shared" ref="P211:P242" si="31">IF(F211="","",IF(O211&gt;=N211,"UMUR HABIS",N211-O211))</f>
        <v>UMUR HABIS</v>
      </c>
    </row>
    <row r="212" spans="1:16" ht="27" x14ac:dyDescent="0.35">
      <c r="A212" s="15">
        <f t="shared" si="29"/>
        <v>34</v>
      </c>
      <c r="B212" s="16" t="s">
        <v>541</v>
      </c>
      <c r="C212" s="19">
        <f t="shared" si="24"/>
        <v>27</v>
      </c>
      <c r="D212" s="19">
        <f t="shared" si="25"/>
        <v>4</v>
      </c>
      <c r="E212" s="19">
        <f t="shared" si="26"/>
        <v>2023</v>
      </c>
      <c r="F212" s="17">
        <v>45043</v>
      </c>
      <c r="G212" s="72" t="s">
        <v>542</v>
      </c>
      <c r="H212" s="72" t="s">
        <v>543</v>
      </c>
      <c r="I212" s="19">
        <v>14785</v>
      </c>
      <c r="J212" s="18" t="s">
        <v>24</v>
      </c>
      <c r="K212" s="20" t="s">
        <v>544</v>
      </c>
      <c r="L212" s="105">
        <v>12765000</v>
      </c>
      <c r="M212" s="88">
        <v>46139</v>
      </c>
      <c r="N212" s="20">
        <v>36</v>
      </c>
      <c r="O212" s="19">
        <f t="shared" si="30"/>
        <v>39</v>
      </c>
      <c r="P212" s="19" t="str">
        <f t="shared" si="31"/>
        <v>UMUR HABIS</v>
      </c>
    </row>
    <row r="213" spans="1:16" ht="27" x14ac:dyDescent="0.35">
      <c r="A213" s="15">
        <f t="shared" si="29"/>
        <v>35</v>
      </c>
      <c r="B213" s="16" t="s">
        <v>541</v>
      </c>
      <c r="C213" s="19">
        <f t="shared" si="24"/>
        <v>27</v>
      </c>
      <c r="D213" s="19">
        <f t="shared" si="25"/>
        <v>4</v>
      </c>
      <c r="E213" s="19">
        <f t="shared" si="26"/>
        <v>2023</v>
      </c>
      <c r="F213" s="17">
        <v>45043</v>
      </c>
      <c r="G213" s="72" t="s">
        <v>545</v>
      </c>
      <c r="H213" s="72" t="s">
        <v>546</v>
      </c>
      <c r="I213" s="19">
        <v>14786</v>
      </c>
      <c r="J213" s="18" t="s">
        <v>24</v>
      </c>
      <c r="K213" s="20" t="s">
        <v>544</v>
      </c>
      <c r="L213" s="105">
        <v>12765000</v>
      </c>
      <c r="M213" s="88">
        <v>46139</v>
      </c>
      <c r="N213" s="20">
        <v>36</v>
      </c>
      <c r="O213" s="19">
        <f t="shared" si="30"/>
        <v>39</v>
      </c>
      <c r="P213" s="19" t="str">
        <f t="shared" si="31"/>
        <v>UMUR HABIS</v>
      </c>
    </row>
    <row r="214" spans="1:16" ht="27" x14ac:dyDescent="0.35">
      <c r="A214" s="15">
        <f t="shared" si="29"/>
        <v>36</v>
      </c>
      <c r="B214" s="16" t="s">
        <v>541</v>
      </c>
      <c r="C214" s="19">
        <f t="shared" si="24"/>
        <v>27</v>
      </c>
      <c r="D214" s="19">
        <f t="shared" si="25"/>
        <v>4</v>
      </c>
      <c r="E214" s="19">
        <f t="shared" si="26"/>
        <v>2023</v>
      </c>
      <c r="F214" s="17">
        <v>45043</v>
      </c>
      <c r="G214" s="72" t="s">
        <v>547</v>
      </c>
      <c r="H214" s="72" t="s">
        <v>548</v>
      </c>
      <c r="I214" s="19">
        <v>14787</v>
      </c>
      <c r="J214" s="18" t="s">
        <v>24</v>
      </c>
      <c r="K214" s="20" t="s">
        <v>283</v>
      </c>
      <c r="L214" s="105">
        <v>12765000</v>
      </c>
      <c r="M214" s="88">
        <v>46139</v>
      </c>
      <c r="N214" s="20">
        <v>36</v>
      </c>
      <c r="O214" s="19">
        <f t="shared" si="30"/>
        <v>39</v>
      </c>
      <c r="P214" s="19" t="str">
        <f t="shared" si="31"/>
        <v>UMUR HABIS</v>
      </c>
    </row>
    <row r="215" spans="1:16" ht="27" x14ac:dyDescent="0.35">
      <c r="A215" s="15">
        <f t="shared" si="29"/>
        <v>37</v>
      </c>
      <c r="B215" s="16" t="s">
        <v>549</v>
      </c>
      <c r="C215" s="19">
        <f t="shared" si="24"/>
        <v>27</v>
      </c>
      <c r="D215" s="19">
        <f t="shared" si="25"/>
        <v>4</v>
      </c>
      <c r="E215" s="19">
        <f t="shared" si="26"/>
        <v>2023</v>
      </c>
      <c r="F215" s="17">
        <v>45043</v>
      </c>
      <c r="G215" s="72" t="s">
        <v>550</v>
      </c>
      <c r="H215" s="72" t="s">
        <v>551</v>
      </c>
      <c r="I215" s="19">
        <v>14788</v>
      </c>
      <c r="J215" s="18" t="s">
        <v>24</v>
      </c>
      <c r="K215" s="20" t="s">
        <v>552</v>
      </c>
      <c r="L215" s="105">
        <v>7437000</v>
      </c>
      <c r="M215" s="88">
        <v>46139</v>
      </c>
      <c r="N215" s="20">
        <v>36</v>
      </c>
      <c r="O215" s="19">
        <f t="shared" si="30"/>
        <v>39</v>
      </c>
      <c r="P215" s="19" t="str">
        <f t="shared" si="31"/>
        <v>UMUR HABIS</v>
      </c>
    </row>
    <row r="216" spans="1:16" ht="27" x14ac:dyDescent="0.35">
      <c r="A216" s="15">
        <f t="shared" si="29"/>
        <v>38</v>
      </c>
      <c r="B216" s="16" t="s">
        <v>549</v>
      </c>
      <c r="C216" s="19">
        <f t="shared" si="24"/>
        <v>27</v>
      </c>
      <c r="D216" s="19">
        <f t="shared" si="25"/>
        <v>4</v>
      </c>
      <c r="E216" s="19">
        <f t="shared" si="26"/>
        <v>2023</v>
      </c>
      <c r="F216" s="17">
        <v>45043</v>
      </c>
      <c r="G216" s="72" t="s">
        <v>553</v>
      </c>
      <c r="H216" s="72" t="s">
        <v>554</v>
      </c>
      <c r="I216" s="19">
        <v>14789</v>
      </c>
      <c r="J216" s="18" t="s">
        <v>24</v>
      </c>
      <c r="K216" s="20" t="s">
        <v>239</v>
      </c>
      <c r="L216" s="105">
        <v>7437000</v>
      </c>
      <c r="M216" s="88">
        <v>46139</v>
      </c>
      <c r="N216" s="20">
        <v>36</v>
      </c>
      <c r="O216" s="19">
        <f t="shared" si="30"/>
        <v>39</v>
      </c>
      <c r="P216" s="19" t="str">
        <f t="shared" si="31"/>
        <v>UMUR HABIS</v>
      </c>
    </row>
    <row r="217" spans="1:16" ht="27" x14ac:dyDescent="0.35">
      <c r="A217" s="15">
        <f t="shared" si="29"/>
        <v>39</v>
      </c>
      <c r="B217" s="16" t="s">
        <v>555</v>
      </c>
      <c r="C217" s="19">
        <f t="shared" si="24"/>
        <v>29</v>
      </c>
      <c r="D217" s="19">
        <f t="shared" si="25"/>
        <v>12</v>
      </c>
      <c r="E217" s="19">
        <f t="shared" si="26"/>
        <v>2023</v>
      </c>
      <c r="F217" s="17">
        <v>45289</v>
      </c>
      <c r="G217" s="72" t="s">
        <v>556</v>
      </c>
      <c r="H217" s="72" t="s">
        <v>557</v>
      </c>
      <c r="I217" s="19">
        <v>14790</v>
      </c>
      <c r="J217" s="18" t="s">
        <v>24</v>
      </c>
      <c r="K217" s="20" t="s">
        <v>317</v>
      </c>
      <c r="L217" s="105">
        <v>13947150</v>
      </c>
      <c r="M217" s="88">
        <v>46385</v>
      </c>
      <c r="N217" s="20">
        <v>36</v>
      </c>
      <c r="O217" s="19">
        <f t="shared" si="30"/>
        <v>31</v>
      </c>
      <c r="P217" s="19">
        <f t="shared" si="31"/>
        <v>5</v>
      </c>
    </row>
    <row r="218" spans="1:16" ht="27" x14ac:dyDescent="0.35">
      <c r="A218" s="15">
        <f t="shared" si="29"/>
        <v>40</v>
      </c>
      <c r="B218" s="16" t="s">
        <v>555</v>
      </c>
      <c r="C218" s="19">
        <f t="shared" si="24"/>
        <v>29</v>
      </c>
      <c r="D218" s="19">
        <f t="shared" si="25"/>
        <v>12</v>
      </c>
      <c r="E218" s="19">
        <f t="shared" si="26"/>
        <v>2023</v>
      </c>
      <c r="F218" s="17">
        <v>45289</v>
      </c>
      <c r="G218" s="72" t="s">
        <v>558</v>
      </c>
      <c r="H218" s="72" t="s">
        <v>559</v>
      </c>
      <c r="I218" s="19">
        <v>14791</v>
      </c>
      <c r="J218" s="18" t="s">
        <v>24</v>
      </c>
      <c r="K218" s="20" t="s">
        <v>317</v>
      </c>
      <c r="L218" s="105">
        <v>13947150</v>
      </c>
      <c r="M218" s="88">
        <v>46385</v>
      </c>
      <c r="N218" s="20">
        <v>36</v>
      </c>
      <c r="O218" s="19">
        <f t="shared" si="30"/>
        <v>31</v>
      </c>
      <c r="P218" s="19">
        <f t="shared" si="31"/>
        <v>5</v>
      </c>
    </row>
    <row r="219" spans="1:16" ht="27" x14ac:dyDescent="0.35">
      <c r="A219" s="15">
        <f t="shared" si="29"/>
        <v>41</v>
      </c>
      <c r="B219" s="16" t="s">
        <v>555</v>
      </c>
      <c r="C219" s="19">
        <f t="shared" si="24"/>
        <v>29</v>
      </c>
      <c r="D219" s="19">
        <f t="shared" si="25"/>
        <v>12</v>
      </c>
      <c r="E219" s="19">
        <f t="shared" si="26"/>
        <v>2023</v>
      </c>
      <c r="F219" s="17">
        <v>45289</v>
      </c>
      <c r="G219" s="72" t="s">
        <v>560</v>
      </c>
      <c r="H219" s="72" t="s">
        <v>561</v>
      </c>
      <c r="I219" s="19">
        <v>14792</v>
      </c>
      <c r="J219" s="18" t="s">
        <v>24</v>
      </c>
      <c r="K219" s="20" t="s">
        <v>317</v>
      </c>
      <c r="L219" s="105">
        <v>13947150</v>
      </c>
      <c r="M219" s="88">
        <v>46385</v>
      </c>
      <c r="N219" s="20">
        <v>36</v>
      </c>
      <c r="O219" s="19">
        <f t="shared" si="30"/>
        <v>31</v>
      </c>
      <c r="P219" s="19">
        <f t="shared" si="31"/>
        <v>5</v>
      </c>
    </row>
    <row r="220" spans="1:16" ht="27" x14ac:dyDescent="0.35">
      <c r="A220" s="15">
        <f t="shared" si="29"/>
        <v>42</v>
      </c>
      <c r="B220" s="16" t="s">
        <v>562</v>
      </c>
      <c r="C220" s="19">
        <f t="shared" si="24"/>
        <v>29</v>
      </c>
      <c r="D220" s="19">
        <f t="shared" si="25"/>
        <v>12</v>
      </c>
      <c r="E220" s="19">
        <f t="shared" si="26"/>
        <v>2023</v>
      </c>
      <c r="F220" s="17">
        <v>45289</v>
      </c>
      <c r="G220" s="72" t="s">
        <v>563</v>
      </c>
      <c r="H220" s="72" t="s">
        <v>564</v>
      </c>
      <c r="I220" s="19">
        <v>14793</v>
      </c>
      <c r="J220" s="18" t="s">
        <v>24</v>
      </c>
      <c r="K220" s="20" t="s">
        <v>195</v>
      </c>
      <c r="L220" s="105">
        <v>7492500</v>
      </c>
      <c r="M220" s="88">
        <v>46385</v>
      </c>
      <c r="N220" s="20">
        <v>36</v>
      </c>
      <c r="O220" s="19">
        <f t="shared" si="30"/>
        <v>31</v>
      </c>
      <c r="P220" s="19">
        <f t="shared" si="31"/>
        <v>5</v>
      </c>
    </row>
    <row r="221" spans="1:16" ht="27" x14ac:dyDescent="0.35">
      <c r="A221" s="15">
        <f t="shared" si="29"/>
        <v>43</v>
      </c>
      <c r="B221" s="16" t="s">
        <v>565</v>
      </c>
      <c r="C221" s="19">
        <f t="shared" si="24"/>
        <v>5</v>
      </c>
      <c r="D221" s="19">
        <f t="shared" si="25"/>
        <v>5</v>
      </c>
      <c r="E221" s="19">
        <f t="shared" si="26"/>
        <v>2021</v>
      </c>
      <c r="F221" s="17">
        <v>44321</v>
      </c>
      <c r="G221" s="72" t="s">
        <v>566</v>
      </c>
      <c r="H221" s="72" t="s">
        <v>567</v>
      </c>
      <c r="I221" s="19">
        <v>14804</v>
      </c>
      <c r="J221" s="18" t="s">
        <v>24</v>
      </c>
      <c r="K221" s="20" t="s">
        <v>283</v>
      </c>
      <c r="L221" s="105">
        <v>13860000</v>
      </c>
      <c r="M221" s="88">
        <v>45417</v>
      </c>
      <c r="N221" s="20">
        <v>36</v>
      </c>
      <c r="O221" s="19">
        <f t="shared" si="30"/>
        <v>63</v>
      </c>
      <c r="P221" s="19" t="str">
        <f t="shared" si="31"/>
        <v>UMUR HABIS</v>
      </c>
    </row>
    <row r="222" spans="1:16" ht="27" x14ac:dyDescent="0.35">
      <c r="A222" s="15">
        <f t="shared" si="29"/>
        <v>44</v>
      </c>
      <c r="B222" s="16" t="s">
        <v>565</v>
      </c>
      <c r="C222" s="19">
        <f t="shared" si="24"/>
        <v>5</v>
      </c>
      <c r="D222" s="19">
        <f t="shared" si="25"/>
        <v>5</v>
      </c>
      <c r="E222" s="19">
        <f t="shared" si="26"/>
        <v>2021</v>
      </c>
      <c r="F222" s="17">
        <v>44321</v>
      </c>
      <c r="G222" s="72" t="s">
        <v>568</v>
      </c>
      <c r="H222" s="72" t="s">
        <v>569</v>
      </c>
      <c r="I222" s="19">
        <v>14805</v>
      </c>
      <c r="J222" s="18" t="s">
        <v>24</v>
      </c>
      <c r="K222" s="20" t="s">
        <v>283</v>
      </c>
      <c r="L222" s="105">
        <v>13860000</v>
      </c>
      <c r="M222" s="88">
        <v>45417</v>
      </c>
      <c r="N222" s="20">
        <v>36</v>
      </c>
      <c r="O222" s="19">
        <f t="shared" si="30"/>
        <v>63</v>
      </c>
      <c r="P222" s="19" t="str">
        <f t="shared" si="31"/>
        <v>UMUR HABIS</v>
      </c>
    </row>
    <row r="223" spans="1:16" ht="27" x14ac:dyDescent="0.35">
      <c r="A223" s="15">
        <f t="shared" si="29"/>
        <v>45</v>
      </c>
      <c r="B223" s="16" t="s">
        <v>476</v>
      </c>
      <c r="C223" s="19">
        <f t="shared" si="24"/>
        <v>31</v>
      </c>
      <c r="D223" s="19">
        <f t="shared" si="25"/>
        <v>12</v>
      </c>
      <c r="E223" s="19">
        <f t="shared" si="26"/>
        <v>2016</v>
      </c>
      <c r="F223" s="17">
        <v>42735</v>
      </c>
      <c r="G223" s="72" t="s">
        <v>570</v>
      </c>
      <c r="H223" s="72" t="s">
        <v>571</v>
      </c>
      <c r="I223" s="19">
        <v>14808</v>
      </c>
      <c r="J223" s="18" t="s">
        <v>24</v>
      </c>
      <c r="K223" s="20" t="s">
        <v>283</v>
      </c>
      <c r="L223" s="105">
        <v>4398000</v>
      </c>
      <c r="M223" s="88">
        <v>44561</v>
      </c>
      <c r="N223" s="20">
        <v>60</v>
      </c>
      <c r="O223" s="19">
        <f t="shared" si="30"/>
        <v>115</v>
      </c>
      <c r="P223" s="19" t="str">
        <f t="shared" si="31"/>
        <v>UMUR HABIS</v>
      </c>
    </row>
    <row r="224" spans="1:16" ht="27" x14ac:dyDescent="0.35">
      <c r="A224" s="15">
        <f t="shared" si="29"/>
        <v>46</v>
      </c>
      <c r="B224" s="16" t="s">
        <v>572</v>
      </c>
      <c r="C224" s="19">
        <f t="shared" si="24"/>
        <v>31</v>
      </c>
      <c r="D224" s="19">
        <f t="shared" si="25"/>
        <v>12</v>
      </c>
      <c r="E224" s="19">
        <f t="shared" si="26"/>
        <v>2016</v>
      </c>
      <c r="F224" s="17">
        <v>42735</v>
      </c>
      <c r="G224" s="72" t="s">
        <v>573</v>
      </c>
      <c r="H224" s="72" t="s">
        <v>574</v>
      </c>
      <c r="I224" s="19">
        <v>14809</v>
      </c>
      <c r="J224" s="18" t="s">
        <v>113</v>
      </c>
      <c r="K224" s="20" t="s">
        <v>114</v>
      </c>
      <c r="L224" s="105">
        <v>0</v>
      </c>
      <c r="M224" s="88">
        <v>43465</v>
      </c>
      <c r="N224" s="20">
        <v>24</v>
      </c>
      <c r="O224" s="19">
        <f t="shared" si="30"/>
        <v>115</v>
      </c>
      <c r="P224" s="19" t="str">
        <f t="shared" si="31"/>
        <v>UMUR HABIS</v>
      </c>
    </row>
    <row r="225" spans="1:16" ht="27" x14ac:dyDescent="0.35">
      <c r="A225" s="15">
        <f t="shared" si="29"/>
        <v>47</v>
      </c>
      <c r="B225" s="16" t="s">
        <v>575</v>
      </c>
      <c r="C225" s="19">
        <f t="shared" si="24"/>
        <v>27</v>
      </c>
      <c r="D225" s="19">
        <f t="shared" si="25"/>
        <v>2</v>
      </c>
      <c r="E225" s="19">
        <f t="shared" si="26"/>
        <v>2018</v>
      </c>
      <c r="F225" s="17">
        <v>43158</v>
      </c>
      <c r="G225" s="72" t="s">
        <v>576</v>
      </c>
      <c r="H225" s="72" t="s">
        <v>577</v>
      </c>
      <c r="I225" s="19">
        <v>14818</v>
      </c>
      <c r="J225" s="18" t="s">
        <v>24</v>
      </c>
      <c r="K225" s="20" t="s">
        <v>195</v>
      </c>
      <c r="L225" s="105">
        <v>42131980</v>
      </c>
      <c r="M225" s="88">
        <v>44984</v>
      </c>
      <c r="N225" s="20">
        <v>60</v>
      </c>
      <c r="O225" s="19">
        <f t="shared" si="30"/>
        <v>101</v>
      </c>
      <c r="P225" s="19" t="str">
        <f t="shared" si="31"/>
        <v>UMUR HABIS</v>
      </c>
    </row>
    <row r="226" spans="1:16" ht="27" x14ac:dyDescent="0.35">
      <c r="A226" s="15">
        <f t="shared" si="29"/>
        <v>48</v>
      </c>
      <c r="B226" s="16" t="s">
        <v>578</v>
      </c>
      <c r="C226" s="19">
        <f t="shared" si="24"/>
        <v>27</v>
      </c>
      <c r="D226" s="19">
        <f t="shared" si="25"/>
        <v>2</v>
      </c>
      <c r="E226" s="19">
        <f t="shared" si="26"/>
        <v>2018</v>
      </c>
      <c r="F226" s="17">
        <v>43158</v>
      </c>
      <c r="G226" s="72" t="s">
        <v>579</v>
      </c>
      <c r="H226" s="72" t="s">
        <v>580</v>
      </c>
      <c r="I226" s="19">
        <v>14819</v>
      </c>
      <c r="J226" s="18" t="s">
        <v>24</v>
      </c>
      <c r="K226" s="20" t="s">
        <v>76</v>
      </c>
      <c r="L226" s="105">
        <v>22189000</v>
      </c>
      <c r="M226" s="88">
        <v>44984</v>
      </c>
      <c r="N226" s="20">
        <v>60</v>
      </c>
      <c r="O226" s="19">
        <f t="shared" si="30"/>
        <v>101</v>
      </c>
      <c r="P226" s="19" t="str">
        <f t="shared" si="31"/>
        <v>UMUR HABIS</v>
      </c>
    </row>
    <row r="227" spans="1:16" ht="27" x14ac:dyDescent="0.35">
      <c r="A227" s="15">
        <f t="shared" si="29"/>
        <v>49</v>
      </c>
      <c r="B227" s="16" t="s">
        <v>581</v>
      </c>
      <c r="C227" s="19">
        <f t="shared" si="24"/>
        <v>27</v>
      </c>
      <c r="D227" s="19">
        <f t="shared" si="25"/>
        <v>2</v>
      </c>
      <c r="E227" s="19">
        <f t="shared" si="26"/>
        <v>2018</v>
      </c>
      <c r="F227" s="17">
        <v>43158</v>
      </c>
      <c r="G227" s="72" t="s">
        <v>582</v>
      </c>
      <c r="H227" s="72" t="s">
        <v>583</v>
      </c>
      <c r="I227" s="19">
        <v>14820</v>
      </c>
      <c r="J227" s="18" t="s">
        <v>24</v>
      </c>
      <c r="K227" s="20" t="s">
        <v>76</v>
      </c>
      <c r="L227" s="105">
        <v>16999000</v>
      </c>
      <c r="M227" s="88">
        <v>44984</v>
      </c>
      <c r="N227" s="20">
        <v>60</v>
      </c>
      <c r="O227" s="19">
        <f t="shared" si="30"/>
        <v>101</v>
      </c>
      <c r="P227" s="19" t="str">
        <f t="shared" si="31"/>
        <v>UMUR HABIS</v>
      </c>
    </row>
    <row r="228" spans="1:16" ht="17.25" customHeight="1" x14ac:dyDescent="0.35">
      <c r="A228" s="15">
        <f t="shared" si="29"/>
        <v>50</v>
      </c>
      <c r="B228" s="16" t="s">
        <v>584</v>
      </c>
      <c r="C228" s="19">
        <f t="shared" si="24"/>
        <v>29</v>
      </c>
      <c r="D228" s="19">
        <f t="shared" si="25"/>
        <v>3</v>
      </c>
      <c r="E228" s="19">
        <f t="shared" si="26"/>
        <v>2018</v>
      </c>
      <c r="F228" s="17">
        <v>43188</v>
      </c>
      <c r="G228" s="72" t="s">
        <v>585</v>
      </c>
      <c r="H228" s="72" t="s">
        <v>586</v>
      </c>
      <c r="I228" s="19">
        <v>14821</v>
      </c>
      <c r="J228" s="18" t="s">
        <v>24</v>
      </c>
      <c r="K228" s="20" t="s">
        <v>283</v>
      </c>
      <c r="L228" s="105">
        <v>32346200</v>
      </c>
      <c r="M228" s="88">
        <v>45014</v>
      </c>
      <c r="N228" s="20">
        <v>60</v>
      </c>
      <c r="O228" s="19">
        <f t="shared" si="30"/>
        <v>100</v>
      </c>
      <c r="P228" s="19" t="str">
        <f t="shared" si="31"/>
        <v>UMUR HABIS</v>
      </c>
    </row>
    <row r="229" spans="1:16" ht="27" x14ac:dyDescent="0.35">
      <c r="A229" s="15">
        <f t="shared" si="29"/>
        <v>51</v>
      </c>
      <c r="B229" s="16" t="s">
        <v>587</v>
      </c>
      <c r="C229" s="19">
        <f t="shared" si="24"/>
        <v>31</v>
      </c>
      <c r="D229" s="19">
        <f t="shared" si="25"/>
        <v>3</v>
      </c>
      <c r="E229" s="19">
        <f t="shared" si="26"/>
        <v>2018</v>
      </c>
      <c r="F229" s="17">
        <v>43190</v>
      </c>
      <c r="G229" s="72" t="s">
        <v>588</v>
      </c>
      <c r="H229" s="72" t="s">
        <v>589</v>
      </c>
      <c r="I229" s="19">
        <v>14842</v>
      </c>
      <c r="J229" s="18" t="s">
        <v>24</v>
      </c>
      <c r="K229" s="20">
        <v>0</v>
      </c>
      <c r="L229" s="105">
        <v>6996000</v>
      </c>
      <c r="M229" s="88">
        <v>44286</v>
      </c>
      <c r="N229" s="20">
        <v>36</v>
      </c>
      <c r="O229" s="19">
        <f t="shared" si="30"/>
        <v>100</v>
      </c>
      <c r="P229" s="19" t="str">
        <f t="shared" si="31"/>
        <v>UMUR HABIS</v>
      </c>
    </row>
    <row r="230" spans="1:16" ht="27" x14ac:dyDescent="0.35">
      <c r="A230" s="15">
        <f t="shared" si="29"/>
        <v>52</v>
      </c>
      <c r="B230" s="16" t="s">
        <v>587</v>
      </c>
      <c r="C230" s="19">
        <f t="shared" si="24"/>
        <v>31</v>
      </c>
      <c r="D230" s="19">
        <f t="shared" si="25"/>
        <v>3</v>
      </c>
      <c r="E230" s="19">
        <f t="shared" si="26"/>
        <v>2018</v>
      </c>
      <c r="F230" s="17">
        <v>43190</v>
      </c>
      <c r="G230" s="72" t="s">
        <v>590</v>
      </c>
      <c r="H230" s="72" t="s">
        <v>591</v>
      </c>
      <c r="I230" s="19">
        <v>14843</v>
      </c>
      <c r="J230" s="18" t="s">
        <v>24</v>
      </c>
      <c r="K230" s="20" t="s">
        <v>592</v>
      </c>
      <c r="L230" s="105">
        <v>6996000</v>
      </c>
      <c r="M230" s="88">
        <v>44286</v>
      </c>
      <c r="N230" s="20">
        <v>36</v>
      </c>
      <c r="O230" s="19">
        <f t="shared" si="30"/>
        <v>100</v>
      </c>
      <c r="P230" s="19" t="str">
        <f t="shared" si="31"/>
        <v>UMUR HABIS</v>
      </c>
    </row>
    <row r="231" spans="1:16" ht="27" x14ac:dyDescent="0.35">
      <c r="A231" s="15">
        <f t="shared" si="29"/>
        <v>53</v>
      </c>
      <c r="B231" s="16" t="s">
        <v>587</v>
      </c>
      <c r="C231" s="19">
        <f t="shared" si="24"/>
        <v>31</v>
      </c>
      <c r="D231" s="19">
        <f t="shared" si="25"/>
        <v>3</v>
      </c>
      <c r="E231" s="19">
        <f t="shared" si="26"/>
        <v>2018</v>
      </c>
      <c r="F231" s="17">
        <v>43190</v>
      </c>
      <c r="G231" s="72" t="s">
        <v>593</v>
      </c>
      <c r="H231" s="72" t="s">
        <v>594</v>
      </c>
      <c r="I231" s="19">
        <v>14844</v>
      </c>
      <c r="J231" s="18" t="s">
        <v>24</v>
      </c>
      <c r="K231" s="20" t="s">
        <v>38</v>
      </c>
      <c r="L231" s="105">
        <v>6996000</v>
      </c>
      <c r="M231" s="88">
        <v>44286</v>
      </c>
      <c r="N231" s="20">
        <v>36</v>
      </c>
      <c r="O231" s="19">
        <f t="shared" si="30"/>
        <v>100</v>
      </c>
      <c r="P231" s="19" t="str">
        <f t="shared" si="31"/>
        <v>UMUR HABIS</v>
      </c>
    </row>
    <row r="232" spans="1:16" ht="27" x14ac:dyDescent="0.35">
      <c r="A232" s="15">
        <f t="shared" si="29"/>
        <v>54</v>
      </c>
      <c r="B232" s="16" t="s">
        <v>587</v>
      </c>
      <c r="C232" s="19">
        <f t="shared" si="24"/>
        <v>31</v>
      </c>
      <c r="D232" s="19">
        <f t="shared" si="25"/>
        <v>3</v>
      </c>
      <c r="E232" s="19">
        <f t="shared" si="26"/>
        <v>2018</v>
      </c>
      <c r="F232" s="17">
        <v>43190</v>
      </c>
      <c r="G232" s="72" t="s">
        <v>595</v>
      </c>
      <c r="H232" s="72" t="s">
        <v>596</v>
      </c>
      <c r="I232" s="19">
        <v>14845</v>
      </c>
      <c r="J232" s="18" t="s">
        <v>24</v>
      </c>
      <c r="K232" s="20" t="s">
        <v>191</v>
      </c>
      <c r="L232" s="105">
        <v>6996000</v>
      </c>
      <c r="M232" s="88">
        <v>44286</v>
      </c>
      <c r="N232" s="20">
        <v>36</v>
      </c>
      <c r="O232" s="19">
        <f t="shared" si="30"/>
        <v>100</v>
      </c>
      <c r="P232" s="19" t="str">
        <f t="shared" si="31"/>
        <v>UMUR HABIS</v>
      </c>
    </row>
    <row r="233" spans="1:16" ht="27" x14ac:dyDescent="0.35">
      <c r="A233" s="15">
        <f t="shared" si="29"/>
        <v>55</v>
      </c>
      <c r="B233" s="16" t="s">
        <v>597</v>
      </c>
      <c r="C233" s="19">
        <f t="shared" si="24"/>
        <v>29</v>
      </c>
      <c r="D233" s="19">
        <f t="shared" si="25"/>
        <v>3</v>
      </c>
      <c r="E233" s="19">
        <f t="shared" si="26"/>
        <v>2019</v>
      </c>
      <c r="F233" s="17">
        <v>43553</v>
      </c>
      <c r="G233" s="72" t="s">
        <v>598</v>
      </c>
      <c r="H233" s="72" t="s">
        <v>599</v>
      </c>
      <c r="I233" s="19">
        <v>14861</v>
      </c>
      <c r="J233" s="18" t="s">
        <v>24</v>
      </c>
      <c r="K233" s="20" t="s">
        <v>98</v>
      </c>
      <c r="L233" s="105">
        <v>7299000</v>
      </c>
      <c r="M233" s="88">
        <v>45380</v>
      </c>
      <c r="N233" s="20">
        <v>60</v>
      </c>
      <c r="O233" s="19">
        <f t="shared" si="30"/>
        <v>88</v>
      </c>
      <c r="P233" s="19" t="str">
        <f t="shared" si="31"/>
        <v>UMUR HABIS</v>
      </c>
    </row>
    <row r="234" spans="1:16" ht="27" x14ac:dyDescent="0.35">
      <c r="A234" s="15">
        <f t="shared" si="29"/>
        <v>56</v>
      </c>
      <c r="B234" s="16" t="s">
        <v>600</v>
      </c>
      <c r="C234" s="19">
        <f t="shared" si="24"/>
        <v>27</v>
      </c>
      <c r="D234" s="19">
        <f t="shared" si="25"/>
        <v>6</v>
      </c>
      <c r="E234" s="19">
        <f t="shared" si="26"/>
        <v>2019</v>
      </c>
      <c r="F234" s="17">
        <v>43643</v>
      </c>
      <c r="G234" s="72" t="s">
        <v>601</v>
      </c>
      <c r="H234" s="72" t="s">
        <v>602</v>
      </c>
      <c r="I234" s="19">
        <v>14872</v>
      </c>
      <c r="J234" s="18" t="s">
        <v>24</v>
      </c>
      <c r="K234" s="20" t="s">
        <v>603</v>
      </c>
      <c r="L234" s="105">
        <v>11432000</v>
      </c>
      <c r="M234" s="88">
        <v>45470</v>
      </c>
      <c r="N234" s="20">
        <v>60</v>
      </c>
      <c r="O234" s="19">
        <f t="shared" si="30"/>
        <v>85</v>
      </c>
      <c r="P234" s="19" t="str">
        <f t="shared" si="31"/>
        <v>UMUR HABIS</v>
      </c>
    </row>
    <row r="235" spans="1:16" ht="135" x14ac:dyDescent="0.35">
      <c r="A235" s="15">
        <f t="shared" si="29"/>
        <v>57</v>
      </c>
      <c r="B235" s="16" t="s">
        <v>604</v>
      </c>
      <c r="C235" s="19">
        <f t="shared" si="24"/>
        <v>27</v>
      </c>
      <c r="D235" s="19">
        <f t="shared" si="25"/>
        <v>5</v>
      </c>
      <c r="E235" s="19">
        <f t="shared" si="26"/>
        <v>2019</v>
      </c>
      <c r="F235" s="17">
        <v>43612</v>
      </c>
      <c r="G235" s="72" t="s">
        <v>605</v>
      </c>
      <c r="H235" s="72" t="s">
        <v>606</v>
      </c>
      <c r="I235" s="19">
        <v>14873</v>
      </c>
      <c r="J235" s="18" t="s">
        <v>24</v>
      </c>
      <c r="K235" s="20" t="s">
        <v>283</v>
      </c>
      <c r="L235" s="105">
        <v>24893000</v>
      </c>
      <c r="M235" s="88">
        <v>45439</v>
      </c>
      <c r="N235" s="20">
        <v>60</v>
      </c>
      <c r="O235" s="19">
        <f t="shared" si="30"/>
        <v>86</v>
      </c>
      <c r="P235" s="19" t="str">
        <f t="shared" si="31"/>
        <v>UMUR HABIS</v>
      </c>
    </row>
    <row r="236" spans="1:16" ht="27" x14ac:dyDescent="0.35">
      <c r="A236" s="15">
        <f t="shared" si="29"/>
        <v>58</v>
      </c>
      <c r="B236" s="16" t="s">
        <v>607</v>
      </c>
      <c r="C236" s="19">
        <f t="shared" si="24"/>
        <v>27</v>
      </c>
      <c r="D236" s="19">
        <f t="shared" si="25"/>
        <v>3</v>
      </c>
      <c r="E236" s="19">
        <f t="shared" si="26"/>
        <v>2020</v>
      </c>
      <c r="F236" s="17">
        <v>43917</v>
      </c>
      <c r="G236" s="72" t="s">
        <v>608</v>
      </c>
      <c r="H236" s="72" t="s">
        <v>609</v>
      </c>
      <c r="I236" s="19">
        <v>14874</v>
      </c>
      <c r="J236" s="18" t="s">
        <v>24</v>
      </c>
      <c r="K236" s="20" t="s">
        <v>187</v>
      </c>
      <c r="L236" s="105">
        <v>6553822</v>
      </c>
      <c r="M236" s="88">
        <v>45012</v>
      </c>
      <c r="N236" s="20">
        <v>36</v>
      </c>
      <c r="O236" s="19">
        <f t="shared" si="30"/>
        <v>76</v>
      </c>
      <c r="P236" s="19" t="str">
        <f t="shared" si="31"/>
        <v>UMUR HABIS</v>
      </c>
    </row>
    <row r="237" spans="1:16" ht="27" x14ac:dyDescent="0.35">
      <c r="A237" s="15">
        <f t="shared" si="29"/>
        <v>59</v>
      </c>
      <c r="B237" s="16" t="s">
        <v>607</v>
      </c>
      <c r="C237" s="19">
        <f t="shared" si="24"/>
        <v>27</v>
      </c>
      <c r="D237" s="19">
        <f t="shared" si="25"/>
        <v>3</v>
      </c>
      <c r="E237" s="19">
        <f t="shared" si="26"/>
        <v>2020</v>
      </c>
      <c r="F237" s="17">
        <v>43917</v>
      </c>
      <c r="G237" s="72" t="s">
        <v>610</v>
      </c>
      <c r="H237" s="72" t="s">
        <v>611</v>
      </c>
      <c r="I237" s="19">
        <v>14875</v>
      </c>
      <c r="J237" s="18" t="s">
        <v>24</v>
      </c>
      <c r="K237" s="20" t="s">
        <v>612</v>
      </c>
      <c r="L237" s="105">
        <v>6553822</v>
      </c>
      <c r="M237" s="88">
        <v>45012</v>
      </c>
      <c r="N237" s="20">
        <v>36</v>
      </c>
      <c r="O237" s="19">
        <f t="shared" si="30"/>
        <v>76</v>
      </c>
      <c r="P237" s="19" t="str">
        <f t="shared" si="31"/>
        <v>UMUR HABIS</v>
      </c>
    </row>
    <row r="238" spans="1:16" ht="30.75" customHeight="1" x14ac:dyDescent="0.35">
      <c r="A238" s="15">
        <f t="shared" si="29"/>
        <v>60</v>
      </c>
      <c r="B238" s="16" t="s">
        <v>613</v>
      </c>
      <c r="C238" s="19">
        <f t="shared" si="24"/>
        <v>27</v>
      </c>
      <c r="D238" s="19">
        <f t="shared" si="25"/>
        <v>3</v>
      </c>
      <c r="E238" s="19">
        <f t="shared" si="26"/>
        <v>2020</v>
      </c>
      <c r="F238" s="17">
        <v>43917</v>
      </c>
      <c r="G238" s="72" t="s">
        <v>614</v>
      </c>
      <c r="H238" s="72" t="s">
        <v>615</v>
      </c>
      <c r="I238" s="19">
        <v>14876</v>
      </c>
      <c r="J238" s="18" t="s">
        <v>24</v>
      </c>
      <c r="K238" s="20" t="s">
        <v>161</v>
      </c>
      <c r="L238" s="105">
        <v>7907097</v>
      </c>
      <c r="M238" s="88">
        <v>45012</v>
      </c>
      <c r="N238" s="20">
        <v>36</v>
      </c>
      <c r="O238" s="19">
        <f t="shared" si="30"/>
        <v>76</v>
      </c>
      <c r="P238" s="19" t="str">
        <f t="shared" si="31"/>
        <v>UMUR HABIS</v>
      </c>
    </row>
    <row r="239" spans="1:16" ht="27" x14ac:dyDescent="0.35">
      <c r="A239" s="15">
        <f t="shared" si="29"/>
        <v>61</v>
      </c>
      <c r="B239" s="16" t="s">
        <v>613</v>
      </c>
      <c r="C239" s="19">
        <f t="shared" si="24"/>
        <v>27</v>
      </c>
      <c r="D239" s="19">
        <f t="shared" si="25"/>
        <v>3</v>
      </c>
      <c r="E239" s="19">
        <f t="shared" si="26"/>
        <v>2020</v>
      </c>
      <c r="F239" s="17">
        <v>43917</v>
      </c>
      <c r="G239" s="72" t="s">
        <v>616</v>
      </c>
      <c r="H239" s="72" t="s">
        <v>617</v>
      </c>
      <c r="I239" s="19">
        <v>14877</v>
      </c>
      <c r="J239" s="18" t="s">
        <v>24</v>
      </c>
      <c r="K239" s="20" t="s">
        <v>371</v>
      </c>
      <c r="L239" s="105">
        <v>7907097</v>
      </c>
      <c r="M239" s="88">
        <v>45012</v>
      </c>
      <c r="N239" s="20">
        <v>36</v>
      </c>
      <c r="O239" s="19">
        <f t="shared" si="30"/>
        <v>76</v>
      </c>
      <c r="P239" s="19" t="str">
        <f t="shared" si="31"/>
        <v>UMUR HABIS</v>
      </c>
    </row>
    <row r="240" spans="1:16" ht="27" x14ac:dyDescent="0.35">
      <c r="A240" s="15">
        <f t="shared" si="29"/>
        <v>62</v>
      </c>
      <c r="B240" s="16" t="s">
        <v>288</v>
      </c>
      <c r="C240" s="19">
        <f t="shared" si="24"/>
        <v>27</v>
      </c>
      <c r="D240" s="19">
        <f t="shared" si="25"/>
        <v>3</v>
      </c>
      <c r="E240" s="19">
        <f t="shared" si="26"/>
        <v>2020</v>
      </c>
      <c r="F240" s="17">
        <v>43917</v>
      </c>
      <c r="G240" s="72" t="s">
        <v>618</v>
      </c>
      <c r="H240" s="72" t="s">
        <v>619</v>
      </c>
      <c r="I240" s="19">
        <v>14878</v>
      </c>
      <c r="J240" s="18" t="s">
        <v>24</v>
      </c>
      <c r="K240" s="20" t="s">
        <v>56</v>
      </c>
      <c r="L240" s="105">
        <v>9688404</v>
      </c>
      <c r="M240" s="88">
        <v>45012</v>
      </c>
      <c r="N240" s="20">
        <v>36</v>
      </c>
      <c r="O240" s="19">
        <f t="shared" si="30"/>
        <v>76</v>
      </c>
      <c r="P240" s="19" t="str">
        <f t="shared" si="31"/>
        <v>UMUR HABIS</v>
      </c>
    </row>
    <row r="241" spans="1:16" ht="27" x14ac:dyDescent="0.35">
      <c r="A241" s="15">
        <f t="shared" si="29"/>
        <v>63</v>
      </c>
      <c r="B241" s="16" t="s">
        <v>288</v>
      </c>
      <c r="C241" s="19">
        <f t="shared" si="24"/>
        <v>27</v>
      </c>
      <c r="D241" s="19">
        <f t="shared" si="25"/>
        <v>3</v>
      </c>
      <c r="E241" s="19">
        <f t="shared" si="26"/>
        <v>2020</v>
      </c>
      <c r="F241" s="17">
        <v>43917</v>
      </c>
      <c r="G241" s="72" t="s">
        <v>620</v>
      </c>
      <c r="H241" s="72" t="s">
        <v>621</v>
      </c>
      <c r="I241" s="19">
        <v>14879</v>
      </c>
      <c r="J241" s="18" t="s">
        <v>24</v>
      </c>
      <c r="K241" s="20" t="s">
        <v>52</v>
      </c>
      <c r="L241" s="105">
        <v>9688404</v>
      </c>
      <c r="M241" s="88">
        <v>45012</v>
      </c>
      <c r="N241" s="20">
        <v>36</v>
      </c>
      <c r="O241" s="19">
        <f t="shared" si="30"/>
        <v>76</v>
      </c>
      <c r="P241" s="19" t="str">
        <f t="shared" si="31"/>
        <v>UMUR HABIS</v>
      </c>
    </row>
    <row r="242" spans="1:16" ht="27" x14ac:dyDescent="0.35">
      <c r="A242" s="15">
        <f t="shared" si="29"/>
        <v>64</v>
      </c>
      <c r="B242" s="16" t="s">
        <v>288</v>
      </c>
      <c r="C242" s="19">
        <f t="shared" si="24"/>
        <v>27</v>
      </c>
      <c r="D242" s="19">
        <f t="shared" si="25"/>
        <v>3</v>
      </c>
      <c r="E242" s="19">
        <f t="shared" si="26"/>
        <v>2020</v>
      </c>
      <c r="F242" s="17">
        <v>43917</v>
      </c>
      <c r="G242" s="72" t="s">
        <v>622</v>
      </c>
      <c r="H242" s="72" t="s">
        <v>623</v>
      </c>
      <c r="I242" s="19">
        <v>14880</v>
      </c>
      <c r="J242" s="18" t="s">
        <v>24</v>
      </c>
      <c r="K242" s="20" t="s">
        <v>52</v>
      </c>
      <c r="L242" s="105">
        <v>9688404</v>
      </c>
      <c r="M242" s="88">
        <v>45012</v>
      </c>
      <c r="N242" s="20">
        <v>36</v>
      </c>
      <c r="O242" s="19">
        <f t="shared" si="30"/>
        <v>76</v>
      </c>
      <c r="P242" s="19" t="str">
        <f t="shared" si="31"/>
        <v>UMUR HABIS</v>
      </c>
    </row>
    <row r="243" spans="1:16" ht="27" x14ac:dyDescent="0.35">
      <c r="A243" s="15">
        <f t="shared" si="29"/>
        <v>65</v>
      </c>
      <c r="B243" s="16" t="s">
        <v>288</v>
      </c>
      <c r="C243" s="19">
        <f t="shared" ref="C243:C280" si="32">DAY(F243)</f>
        <v>27</v>
      </c>
      <c r="D243" s="19">
        <f t="shared" ref="D243:D280" si="33">MONTH(F243)</f>
        <v>3</v>
      </c>
      <c r="E243" s="19">
        <f t="shared" ref="E243:E280" si="34">YEAR(F243)</f>
        <v>2020</v>
      </c>
      <c r="F243" s="17">
        <v>43917</v>
      </c>
      <c r="G243" s="72" t="s">
        <v>624</v>
      </c>
      <c r="H243" s="72" t="s">
        <v>625</v>
      </c>
      <c r="I243" s="19">
        <v>14881</v>
      </c>
      <c r="J243" s="18" t="s">
        <v>24</v>
      </c>
      <c r="K243" s="20" t="s">
        <v>48</v>
      </c>
      <c r="L243" s="105">
        <v>9688404</v>
      </c>
      <c r="M243" s="88">
        <v>45012</v>
      </c>
      <c r="N243" s="20">
        <v>36</v>
      </c>
      <c r="O243" s="19">
        <f t="shared" ref="O243:O278" si="35">IF(F243="","",ROUND((($O$4-F243)*12/365),0))</f>
        <v>76</v>
      </c>
      <c r="P243" s="19" t="str">
        <f t="shared" ref="P243:P274" si="36">IF(F243="","",IF(O243&gt;=N243,"UMUR HABIS",N243-O243))</f>
        <v>UMUR HABIS</v>
      </c>
    </row>
    <row r="244" spans="1:16" ht="27" x14ac:dyDescent="0.35">
      <c r="A244" s="15">
        <f t="shared" ref="A244:A293" si="37">+A243+1</f>
        <v>66</v>
      </c>
      <c r="B244" s="16" t="s">
        <v>288</v>
      </c>
      <c r="C244" s="19">
        <f t="shared" si="32"/>
        <v>27</v>
      </c>
      <c r="D244" s="19">
        <f t="shared" si="33"/>
        <v>3</v>
      </c>
      <c r="E244" s="19">
        <f t="shared" si="34"/>
        <v>2020</v>
      </c>
      <c r="F244" s="17">
        <v>43917</v>
      </c>
      <c r="G244" s="72" t="s">
        <v>626</v>
      </c>
      <c r="H244" s="72" t="s">
        <v>627</v>
      </c>
      <c r="I244" s="19">
        <v>14882</v>
      </c>
      <c r="J244" s="18" t="s">
        <v>24</v>
      </c>
      <c r="K244" s="20" t="s">
        <v>25</v>
      </c>
      <c r="L244" s="105">
        <v>9688404</v>
      </c>
      <c r="M244" s="88">
        <v>45012</v>
      </c>
      <c r="N244" s="20">
        <v>36</v>
      </c>
      <c r="O244" s="19">
        <f t="shared" si="35"/>
        <v>76</v>
      </c>
      <c r="P244" s="19" t="str">
        <f t="shared" si="36"/>
        <v>UMUR HABIS</v>
      </c>
    </row>
    <row r="245" spans="1:16" ht="27" x14ac:dyDescent="0.35">
      <c r="A245" s="15">
        <f t="shared" si="37"/>
        <v>67</v>
      </c>
      <c r="B245" s="16" t="s">
        <v>288</v>
      </c>
      <c r="C245" s="19">
        <f t="shared" si="32"/>
        <v>27</v>
      </c>
      <c r="D245" s="19">
        <f t="shared" si="33"/>
        <v>3</v>
      </c>
      <c r="E245" s="19">
        <f t="shared" si="34"/>
        <v>2020</v>
      </c>
      <c r="F245" s="17">
        <v>43917</v>
      </c>
      <c r="G245" s="72" t="s">
        <v>628</v>
      </c>
      <c r="H245" s="72" t="s">
        <v>629</v>
      </c>
      <c r="I245" s="19">
        <v>14883</v>
      </c>
      <c r="J245" s="18" t="s">
        <v>24</v>
      </c>
      <c r="K245" s="20" t="s">
        <v>283</v>
      </c>
      <c r="L245" s="105">
        <v>9688404</v>
      </c>
      <c r="M245" s="88">
        <v>45012</v>
      </c>
      <c r="N245" s="20">
        <v>36</v>
      </c>
      <c r="O245" s="19">
        <f t="shared" si="35"/>
        <v>76</v>
      </c>
      <c r="P245" s="19" t="str">
        <f t="shared" si="36"/>
        <v>UMUR HABIS</v>
      </c>
    </row>
    <row r="246" spans="1:16" ht="27" x14ac:dyDescent="0.35">
      <c r="A246" s="15">
        <f t="shared" si="37"/>
        <v>68</v>
      </c>
      <c r="B246" s="16" t="s">
        <v>288</v>
      </c>
      <c r="C246" s="19">
        <f t="shared" si="32"/>
        <v>27</v>
      </c>
      <c r="D246" s="19">
        <f t="shared" si="33"/>
        <v>3</v>
      </c>
      <c r="E246" s="19">
        <f t="shared" si="34"/>
        <v>2020</v>
      </c>
      <c r="F246" s="17">
        <v>43917</v>
      </c>
      <c r="G246" s="72" t="s">
        <v>630</v>
      </c>
      <c r="H246" s="72" t="s">
        <v>631</v>
      </c>
      <c r="I246" s="19">
        <v>14884</v>
      </c>
      <c r="J246" s="18" t="s">
        <v>24</v>
      </c>
      <c r="K246" s="20" t="s">
        <v>52</v>
      </c>
      <c r="L246" s="105">
        <v>9688404</v>
      </c>
      <c r="M246" s="88">
        <v>45012</v>
      </c>
      <c r="N246" s="20">
        <v>36</v>
      </c>
      <c r="O246" s="19">
        <f t="shared" si="35"/>
        <v>76</v>
      </c>
      <c r="P246" s="19" t="str">
        <f t="shared" si="36"/>
        <v>UMUR HABIS</v>
      </c>
    </row>
    <row r="247" spans="1:16" ht="27" x14ac:dyDescent="0.35">
      <c r="A247" s="15">
        <f t="shared" si="37"/>
        <v>69</v>
      </c>
      <c r="B247" s="16" t="s">
        <v>632</v>
      </c>
      <c r="C247" s="19">
        <f t="shared" si="32"/>
        <v>9</v>
      </c>
      <c r="D247" s="19">
        <f t="shared" si="33"/>
        <v>4</v>
      </c>
      <c r="E247" s="19">
        <f t="shared" si="34"/>
        <v>2021</v>
      </c>
      <c r="F247" s="17">
        <v>44295</v>
      </c>
      <c r="G247" s="72" t="s">
        <v>633</v>
      </c>
      <c r="H247" s="72" t="s">
        <v>634</v>
      </c>
      <c r="I247" s="19">
        <v>14894</v>
      </c>
      <c r="J247" s="18" t="s">
        <v>24</v>
      </c>
      <c r="K247" s="20" t="s">
        <v>195</v>
      </c>
      <c r="L247" s="105">
        <v>11209000</v>
      </c>
      <c r="M247" s="88">
        <v>46121</v>
      </c>
      <c r="N247" s="20">
        <v>60</v>
      </c>
      <c r="O247" s="19">
        <f t="shared" si="35"/>
        <v>64</v>
      </c>
      <c r="P247" s="19" t="str">
        <f t="shared" si="36"/>
        <v>UMUR HABIS</v>
      </c>
    </row>
    <row r="248" spans="1:16" ht="27" x14ac:dyDescent="0.35">
      <c r="A248" s="15">
        <f t="shared" si="37"/>
        <v>70</v>
      </c>
      <c r="B248" s="16" t="s">
        <v>635</v>
      </c>
      <c r="C248" s="19">
        <f t="shared" si="32"/>
        <v>26</v>
      </c>
      <c r="D248" s="19">
        <f t="shared" si="33"/>
        <v>4</v>
      </c>
      <c r="E248" s="19">
        <f t="shared" si="34"/>
        <v>2021</v>
      </c>
      <c r="F248" s="17">
        <v>44312</v>
      </c>
      <c r="G248" s="72" t="s">
        <v>636</v>
      </c>
      <c r="H248" s="72" t="s">
        <v>637</v>
      </c>
      <c r="I248" s="19">
        <v>14895</v>
      </c>
      <c r="J248" s="18" t="s">
        <v>24</v>
      </c>
      <c r="K248" s="20" t="s">
        <v>195</v>
      </c>
      <c r="L248" s="105">
        <v>7529500</v>
      </c>
      <c r="M248" s="88">
        <v>45408</v>
      </c>
      <c r="N248" s="20">
        <v>36</v>
      </c>
      <c r="O248" s="19">
        <f t="shared" si="35"/>
        <v>63</v>
      </c>
      <c r="P248" s="19" t="str">
        <f t="shared" si="36"/>
        <v>UMUR HABIS</v>
      </c>
    </row>
    <row r="249" spans="1:16" ht="27" x14ac:dyDescent="0.35">
      <c r="A249" s="15">
        <f t="shared" si="37"/>
        <v>71</v>
      </c>
      <c r="B249" s="16" t="s">
        <v>635</v>
      </c>
      <c r="C249" s="19">
        <f t="shared" si="32"/>
        <v>26</v>
      </c>
      <c r="D249" s="19">
        <f t="shared" si="33"/>
        <v>4</v>
      </c>
      <c r="E249" s="19">
        <f t="shared" si="34"/>
        <v>2021</v>
      </c>
      <c r="F249" s="17">
        <v>44312</v>
      </c>
      <c r="G249" s="72" t="s">
        <v>638</v>
      </c>
      <c r="H249" s="72" t="s">
        <v>639</v>
      </c>
      <c r="I249" s="19">
        <v>14896</v>
      </c>
      <c r="J249" s="18" t="s">
        <v>24</v>
      </c>
      <c r="K249" s="20" t="s">
        <v>195</v>
      </c>
      <c r="L249" s="105">
        <v>7529500</v>
      </c>
      <c r="M249" s="88">
        <v>45408</v>
      </c>
      <c r="N249" s="20">
        <v>36</v>
      </c>
      <c r="O249" s="19">
        <f t="shared" si="35"/>
        <v>63</v>
      </c>
      <c r="P249" s="19" t="str">
        <f t="shared" si="36"/>
        <v>UMUR HABIS</v>
      </c>
    </row>
    <row r="250" spans="1:16" ht="27" x14ac:dyDescent="0.35">
      <c r="A250" s="15">
        <f t="shared" si="37"/>
        <v>72</v>
      </c>
      <c r="B250" s="16" t="s">
        <v>640</v>
      </c>
      <c r="C250" s="19">
        <f t="shared" si="32"/>
        <v>27</v>
      </c>
      <c r="D250" s="19">
        <f t="shared" si="33"/>
        <v>4</v>
      </c>
      <c r="E250" s="19">
        <f t="shared" si="34"/>
        <v>2023</v>
      </c>
      <c r="F250" s="17">
        <v>45043</v>
      </c>
      <c r="G250" s="72" t="s">
        <v>641</v>
      </c>
      <c r="H250" s="72" t="s">
        <v>642</v>
      </c>
      <c r="I250" s="19">
        <v>14897</v>
      </c>
      <c r="J250" s="18" t="s">
        <v>24</v>
      </c>
      <c r="K250" s="20" t="s">
        <v>195</v>
      </c>
      <c r="L250" s="105">
        <v>23310000</v>
      </c>
      <c r="M250" s="88">
        <v>48696</v>
      </c>
      <c r="N250" s="20">
        <v>120</v>
      </c>
      <c r="O250" s="19">
        <f t="shared" si="35"/>
        <v>39</v>
      </c>
      <c r="P250" s="19">
        <f t="shared" si="36"/>
        <v>81</v>
      </c>
    </row>
    <row r="251" spans="1:16" ht="27" x14ac:dyDescent="0.35">
      <c r="A251" s="15">
        <f t="shared" si="37"/>
        <v>73</v>
      </c>
      <c r="B251" s="16" t="s">
        <v>549</v>
      </c>
      <c r="C251" s="19">
        <f t="shared" si="32"/>
        <v>27</v>
      </c>
      <c r="D251" s="19">
        <f t="shared" si="33"/>
        <v>4</v>
      </c>
      <c r="E251" s="19">
        <f t="shared" si="34"/>
        <v>2023</v>
      </c>
      <c r="F251" s="17">
        <v>45043</v>
      </c>
      <c r="G251" s="72" t="s">
        <v>643</v>
      </c>
      <c r="H251" s="72" t="s">
        <v>644</v>
      </c>
      <c r="I251" s="19">
        <v>14898</v>
      </c>
      <c r="J251" s="18" t="s">
        <v>24</v>
      </c>
      <c r="K251" s="20" t="s">
        <v>98</v>
      </c>
      <c r="L251" s="105">
        <v>7437000</v>
      </c>
      <c r="M251" s="88">
        <v>46139</v>
      </c>
      <c r="N251" s="20">
        <v>36</v>
      </c>
      <c r="O251" s="19">
        <f t="shared" si="35"/>
        <v>39</v>
      </c>
      <c r="P251" s="19" t="str">
        <f t="shared" si="36"/>
        <v>UMUR HABIS</v>
      </c>
    </row>
    <row r="252" spans="1:16" ht="27" x14ac:dyDescent="0.35">
      <c r="A252" s="15">
        <f t="shared" si="37"/>
        <v>74</v>
      </c>
      <c r="B252" s="16" t="s">
        <v>549</v>
      </c>
      <c r="C252" s="19">
        <f t="shared" si="32"/>
        <v>27</v>
      </c>
      <c r="D252" s="19">
        <f t="shared" si="33"/>
        <v>4</v>
      </c>
      <c r="E252" s="19">
        <f t="shared" si="34"/>
        <v>2023</v>
      </c>
      <c r="F252" s="17">
        <v>45043</v>
      </c>
      <c r="G252" s="72" t="s">
        <v>645</v>
      </c>
      <c r="H252" s="72" t="s">
        <v>646</v>
      </c>
      <c r="I252" s="19">
        <v>14899</v>
      </c>
      <c r="J252" s="18" t="s">
        <v>24</v>
      </c>
      <c r="K252" s="20" t="s">
        <v>271</v>
      </c>
      <c r="L252" s="105">
        <v>7437000</v>
      </c>
      <c r="M252" s="88">
        <v>46139</v>
      </c>
      <c r="N252" s="20">
        <v>36</v>
      </c>
      <c r="O252" s="19">
        <f t="shared" si="35"/>
        <v>39</v>
      </c>
      <c r="P252" s="19" t="str">
        <f t="shared" si="36"/>
        <v>UMUR HABIS</v>
      </c>
    </row>
    <row r="253" spans="1:16" ht="27" x14ac:dyDescent="0.35">
      <c r="A253" s="15">
        <f t="shared" si="37"/>
        <v>75</v>
      </c>
      <c r="B253" s="16" t="s">
        <v>647</v>
      </c>
      <c r="C253" s="19">
        <f t="shared" si="32"/>
        <v>27</v>
      </c>
      <c r="D253" s="19">
        <f t="shared" si="33"/>
        <v>4</v>
      </c>
      <c r="E253" s="19">
        <f t="shared" si="34"/>
        <v>2023</v>
      </c>
      <c r="F253" s="17">
        <v>45043</v>
      </c>
      <c r="G253" s="72" t="s">
        <v>648</v>
      </c>
      <c r="H253" s="72" t="s">
        <v>649</v>
      </c>
      <c r="I253" s="19">
        <v>14900</v>
      </c>
      <c r="J253" s="18" t="s">
        <v>24</v>
      </c>
      <c r="K253" s="20" t="s">
        <v>195</v>
      </c>
      <c r="L253" s="105">
        <v>10989000</v>
      </c>
      <c r="M253" s="88">
        <v>46870</v>
      </c>
      <c r="N253" s="20">
        <v>60</v>
      </c>
      <c r="O253" s="19">
        <f t="shared" si="35"/>
        <v>39</v>
      </c>
      <c r="P253" s="19">
        <f t="shared" si="36"/>
        <v>21</v>
      </c>
    </row>
    <row r="254" spans="1:16" ht="27" x14ac:dyDescent="0.35">
      <c r="A254" s="15">
        <f t="shared" si="37"/>
        <v>76</v>
      </c>
      <c r="B254" s="16" t="s">
        <v>562</v>
      </c>
      <c r="C254" s="19">
        <f t="shared" si="32"/>
        <v>29</v>
      </c>
      <c r="D254" s="19">
        <f t="shared" si="33"/>
        <v>12</v>
      </c>
      <c r="E254" s="19">
        <f t="shared" si="34"/>
        <v>2023</v>
      </c>
      <c r="F254" s="17">
        <v>45289</v>
      </c>
      <c r="G254" s="72" t="s">
        <v>650</v>
      </c>
      <c r="H254" s="72" t="s">
        <v>651</v>
      </c>
      <c r="I254" s="19">
        <v>14901</v>
      </c>
      <c r="J254" s="18" t="s">
        <v>24</v>
      </c>
      <c r="K254" s="20" t="s">
        <v>195</v>
      </c>
      <c r="L254" s="105">
        <v>7492500</v>
      </c>
      <c r="M254" s="88">
        <v>46385</v>
      </c>
      <c r="N254" s="20">
        <v>36</v>
      </c>
      <c r="O254" s="19">
        <f t="shared" si="35"/>
        <v>31</v>
      </c>
      <c r="P254" s="19">
        <f t="shared" si="36"/>
        <v>5</v>
      </c>
    </row>
    <row r="255" spans="1:16" ht="27" x14ac:dyDescent="0.35">
      <c r="A255" s="15">
        <f t="shared" si="37"/>
        <v>77</v>
      </c>
      <c r="B255" s="16" t="s">
        <v>652</v>
      </c>
      <c r="C255" s="19">
        <f t="shared" si="32"/>
        <v>30</v>
      </c>
      <c r="D255" s="19">
        <f t="shared" si="33"/>
        <v>5</v>
      </c>
      <c r="E255" s="19">
        <f t="shared" si="34"/>
        <v>2024</v>
      </c>
      <c r="F255" s="17">
        <v>45442</v>
      </c>
      <c r="G255" s="72" t="s">
        <v>653</v>
      </c>
      <c r="H255" s="72" t="s">
        <v>654</v>
      </c>
      <c r="I255" s="19">
        <v>14902</v>
      </c>
      <c r="J255" s="18" t="s">
        <v>24</v>
      </c>
      <c r="K255" s="20" t="s">
        <v>195</v>
      </c>
      <c r="L255" s="105">
        <v>6849999</v>
      </c>
      <c r="M255" s="88">
        <v>47268</v>
      </c>
      <c r="N255" s="20">
        <v>60</v>
      </c>
      <c r="O255" s="19">
        <f t="shared" si="35"/>
        <v>26</v>
      </c>
      <c r="P255" s="19">
        <f t="shared" si="36"/>
        <v>34</v>
      </c>
    </row>
    <row r="256" spans="1:16" ht="27" x14ac:dyDescent="0.35">
      <c r="A256" s="15">
        <f t="shared" si="37"/>
        <v>78</v>
      </c>
      <c r="B256" s="16" t="s">
        <v>562</v>
      </c>
      <c r="C256" s="19">
        <f t="shared" si="32"/>
        <v>29</v>
      </c>
      <c r="D256" s="19">
        <f t="shared" si="33"/>
        <v>12</v>
      </c>
      <c r="E256" s="19">
        <f t="shared" si="34"/>
        <v>2023</v>
      </c>
      <c r="F256" s="17">
        <v>45289</v>
      </c>
      <c r="G256" s="72" t="s">
        <v>655</v>
      </c>
      <c r="H256" s="72" t="s">
        <v>656</v>
      </c>
      <c r="I256" s="19">
        <v>15053</v>
      </c>
      <c r="J256" s="18" t="s">
        <v>24</v>
      </c>
      <c r="K256" s="20" t="s">
        <v>98</v>
      </c>
      <c r="L256" s="105">
        <v>7492500</v>
      </c>
      <c r="M256" s="88">
        <v>46385</v>
      </c>
      <c r="N256" s="20">
        <v>36</v>
      </c>
      <c r="O256" s="19">
        <f t="shared" si="35"/>
        <v>31</v>
      </c>
      <c r="P256" s="19">
        <f t="shared" si="36"/>
        <v>5</v>
      </c>
    </row>
    <row r="257" spans="1:16" ht="27" x14ac:dyDescent="0.35">
      <c r="A257" s="15">
        <f t="shared" si="37"/>
        <v>79</v>
      </c>
      <c r="B257" s="16" t="s">
        <v>657</v>
      </c>
      <c r="C257" s="19">
        <f t="shared" si="32"/>
        <v>29</v>
      </c>
      <c r="D257" s="19">
        <f t="shared" si="33"/>
        <v>12</v>
      </c>
      <c r="E257" s="19">
        <f t="shared" si="34"/>
        <v>2023</v>
      </c>
      <c r="F257" s="17">
        <v>45289</v>
      </c>
      <c r="G257" s="72" t="s">
        <v>658</v>
      </c>
      <c r="H257" s="72" t="s">
        <v>659</v>
      </c>
      <c r="I257" s="19">
        <v>15054</v>
      </c>
      <c r="J257" s="18" t="s">
        <v>24</v>
      </c>
      <c r="K257" s="20" t="s">
        <v>283</v>
      </c>
      <c r="L257" s="105">
        <v>22699000.5</v>
      </c>
      <c r="M257" s="88">
        <v>47116</v>
      </c>
      <c r="N257" s="20">
        <v>60</v>
      </c>
      <c r="O257" s="19">
        <f t="shared" si="35"/>
        <v>31</v>
      </c>
      <c r="P257" s="19">
        <f t="shared" si="36"/>
        <v>29</v>
      </c>
    </row>
    <row r="258" spans="1:16" ht="27" x14ac:dyDescent="0.35">
      <c r="A258" s="15">
        <f t="shared" si="37"/>
        <v>80</v>
      </c>
      <c r="B258" s="16" t="s">
        <v>660</v>
      </c>
      <c r="C258" s="19">
        <f t="shared" si="32"/>
        <v>29</v>
      </c>
      <c r="D258" s="19">
        <f t="shared" si="33"/>
        <v>12</v>
      </c>
      <c r="E258" s="19">
        <f t="shared" si="34"/>
        <v>2023</v>
      </c>
      <c r="F258" s="17">
        <v>45289</v>
      </c>
      <c r="G258" s="72" t="s">
        <v>658</v>
      </c>
      <c r="H258" s="72" t="s">
        <v>659</v>
      </c>
      <c r="I258" s="19">
        <v>15055</v>
      </c>
      <c r="J258" s="18" t="s">
        <v>24</v>
      </c>
      <c r="K258" s="20" t="s">
        <v>283</v>
      </c>
      <c r="L258" s="105">
        <v>7779001</v>
      </c>
      <c r="M258" s="88">
        <v>47116</v>
      </c>
      <c r="N258" s="20">
        <v>60</v>
      </c>
      <c r="O258" s="19">
        <f t="shared" si="35"/>
        <v>31</v>
      </c>
      <c r="P258" s="19">
        <f t="shared" si="36"/>
        <v>29</v>
      </c>
    </row>
    <row r="259" spans="1:16" ht="27" x14ac:dyDescent="0.35">
      <c r="A259" s="15">
        <f t="shared" si="37"/>
        <v>81</v>
      </c>
      <c r="B259" s="16" t="s">
        <v>661</v>
      </c>
      <c r="C259" s="19">
        <f t="shared" si="32"/>
        <v>29</v>
      </c>
      <c r="D259" s="19">
        <f t="shared" si="33"/>
        <v>12</v>
      </c>
      <c r="E259" s="19">
        <f t="shared" si="34"/>
        <v>2023</v>
      </c>
      <c r="F259" s="17">
        <v>45289</v>
      </c>
      <c r="G259" s="72" t="s">
        <v>662</v>
      </c>
      <c r="H259" s="72" t="s">
        <v>663</v>
      </c>
      <c r="I259" s="19">
        <v>15056</v>
      </c>
      <c r="J259" s="18" t="s">
        <v>24</v>
      </c>
      <c r="K259" s="20" t="s">
        <v>89</v>
      </c>
      <c r="L259" s="105">
        <v>3050000.28</v>
      </c>
      <c r="M259" s="88">
        <v>47116</v>
      </c>
      <c r="N259" s="20">
        <v>60</v>
      </c>
      <c r="O259" s="19">
        <f t="shared" si="35"/>
        <v>31</v>
      </c>
      <c r="P259" s="19">
        <f t="shared" si="36"/>
        <v>29</v>
      </c>
    </row>
    <row r="260" spans="1:16" ht="27" x14ac:dyDescent="0.35">
      <c r="A260" s="15">
        <f t="shared" si="37"/>
        <v>82</v>
      </c>
      <c r="B260" s="16" t="s">
        <v>664</v>
      </c>
      <c r="C260" s="19">
        <f t="shared" si="32"/>
        <v>29</v>
      </c>
      <c r="D260" s="19">
        <f t="shared" si="33"/>
        <v>12</v>
      </c>
      <c r="E260" s="19">
        <f t="shared" si="34"/>
        <v>2023</v>
      </c>
      <c r="F260" s="17">
        <v>45289</v>
      </c>
      <c r="G260" s="72" t="s">
        <v>658</v>
      </c>
      <c r="H260" s="72" t="s">
        <v>659</v>
      </c>
      <c r="I260" s="19">
        <v>15057</v>
      </c>
      <c r="J260" s="18" t="s">
        <v>24</v>
      </c>
      <c r="K260" s="20" t="s">
        <v>283</v>
      </c>
      <c r="L260" s="105">
        <v>4620000.93</v>
      </c>
      <c r="M260" s="88">
        <v>47116</v>
      </c>
      <c r="N260" s="20">
        <v>60</v>
      </c>
      <c r="O260" s="19">
        <f t="shared" si="35"/>
        <v>31</v>
      </c>
      <c r="P260" s="19">
        <f t="shared" si="36"/>
        <v>29</v>
      </c>
    </row>
    <row r="261" spans="1:16" ht="27" x14ac:dyDescent="0.35">
      <c r="A261" s="15">
        <f t="shared" si="37"/>
        <v>83</v>
      </c>
      <c r="B261" s="16" t="s">
        <v>665</v>
      </c>
      <c r="C261" s="19">
        <f t="shared" si="32"/>
        <v>30</v>
      </c>
      <c r="D261" s="19">
        <f t="shared" si="33"/>
        <v>5</v>
      </c>
      <c r="E261" s="19">
        <f t="shared" si="34"/>
        <v>2024</v>
      </c>
      <c r="F261" s="17">
        <v>45442</v>
      </c>
      <c r="G261" s="72" t="s">
        <v>666</v>
      </c>
      <c r="H261" s="72" t="s">
        <v>667</v>
      </c>
      <c r="I261" s="19">
        <v>15059</v>
      </c>
      <c r="J261" s="18" t="s">
        <v>24</v>
      </c>
      <c r="K261" s="20" t="s">
        <v>283</v>
      </c>
      <c r="L261" s="105">
        <v>18200000</v>
      </c>
      <c r="M261" s="88">
        <v>47268</v>
      </c>
      <c r="N261" s="20">
        <v>60</v>
      </c>
      <c r="O261" s="19">
        <f t="shared" si="35"/>
        <v>26</v>
      </c>
      <c r="P261" s="19">
        <f t="shared" si="36"/>
        <v>34</v>
      </c>
    </row>
    <row r="262" spans="1:16" ht="27" x14ac:dyDescent="0.35">
      <c r="A262" s="15">
        <f t="shared" si="37"/>
        <v>84</v>
      </c>
      <c r="B262" s="16" t="s">
        <v>668</v>
      </c>
      <c r="C262" s="19">
        <f t="shared" si="32"/>
        <v>31</v>
      </c>
      <c r="D262" s="19">
        <f t="shared" si="33"/>
        <v>7</v>
      </c>
      <c r="E262" s="19">
        <f t="shared" si="34"/>
        <v>2024</v>
      </c>
      <c r="F262" s="17">
        <v>45504</v>
      </c>
      <c r="G262" s="72" t="s">
        <v>669</v>
      </c>
      <c r="H262" s="72" t="s">
        <v>670</v>
      </c>
      <c r="I262" s="19">
        <v>15061</v>
      </c>
      <c r="J262" s="18" t="s">
        <v>24</v>
      </c>
      <c r="K262" s="20" t="s">
        <v>534</v>
      </c>
      <c r="L262" s="105">
        <v>7500000</v>
      </c>
      <c r="M262" s="88">
        <v>47330</v>
      </c>
      <c r="N262" s="20">
        <v>60</v>
      </c>
      <c r="O262" s="19">
        <f t="shared" si="35"/>
        <v>24</v>
      </c>
      <c r="P262" s="19">
        <f t="shared" si="36"/>
        <v>36</v>
      </c>
    </row>
    <row r="263" spans="1:16" ht="27" x14ac:dyDescent="0.35">
      <c r="A263" s="15">
        <f t="shared" si="37"/>
        <v>85</v>
      </c>
      <c r="B263" s="16" t="s">
        <v>671</v>
      </c>
      <c r="C263" s="19">
        <f t="shared" si="32"/>
        <v>19</v>
      </c>
      <c r="D263" s="19">
        <f t="shared" si="33"/>
        <v>8</v>
      </c>
      <c r="E263" s="19">
        <f t="shared" si="34"/>
        <v>2024</v>
      </c>
      <c r="F263" s="17">
        <v>45523</v>
      </c>
      <c r="G263" s="72" t="s">
        <v>672</v>
      </c>
      <c r="H263" s="72" t="s">
        <v>673</v>
      </c>
      <c r="I263" s="19">
        <v>15068</v>
      </c>
      <c r="J263" s="18" t="s">
        <v>24</v>
      </c>
      <c r="K263" s="20" t="s">
        <v>98</v>
      </c>
      <c r="L263" s="105">
        <v>4216890</v>
      </c>
      <c r="M263" s="88">
        <v>47349</v>
      </c>
      <c r="N263" s="20">
        <v>60</v>
      </c>
      <c r="O263" s="19">
        <f t="shared" si="35"/>
        <v>23</v>
      </c>
      <c r="P263" s="19">
        <f t="shared" si="36"/>
        <v>37</v>
      </c>
    </row>
    <row r="264" spans="1:16" ht="27" x14ac:dyDescent="0.35">
      <c r="A264" s="15">
        <f t="shared" si="37"/>
        <v>86</v>
      </c>
      <c r="B264" s="16" t="s">
        <v>674</v>
      </c>
      <c r="C264" s="19">
        <f t="shared" si="32"/>
        <v>4</v>
      </c>
      <c r="D264" s="19">
        <f t="shared" si="33"/>
        <v>6</v>
      </c>
      <c r="E264" s="19">
        <f t="shared" si="34"/>
        <v>2003</v>
      </c>
      <c r="F264" s="17">
        <v>37776</v>
      </c>
      <c r="G264" s="72" t="s">
        <v>675</v>
      </c>
      <c r="H264" s="72" t="s">
        <v>676</v>
      </c>
      <c r="I264" s="19">
        <v>15084</v>
      </c>
      <c r="J264" s="18" t="s">
        <v>475</v>
      </c>
      <c r="K264" s="20" t="s">
        <v>788</v>
      </c>
      <c r="L264" s="105">
        <v>0</v>
      </c>
      <c r="M264" s="88">
        <v>38872</v>
      </c>
      <c r="N264" s="20">
        <v>36</v>
      </c>
      <c r="O264" s="19">
        <f t="shared" si="35"/>
        <v>278</v>
      </c>
      <c r="P264" s="19" t="str">
        <f t="shared" si="36"/>
        <v>UMUR HABIS</v>
      </c>
    </row>
    <row r="265" spans="1:16" ht="27" x14ac:dyDescent="0.35">
      <c r="A265" s="15">
        <f t="shared" si="37"/>
        <v>87</v>
      </c>
      <c r="B265" s="16" t="s">
        <v>677</v>
      </c>
      <c r="C265" s="19">
        <f t="shared" si="32"/>
        <v>27</v>
      </c>
      <c r="D265" s="19">
        <f t="shared" si="33"/>
        <v>4</v>
      </c>
      <c r="E265" s="19">
        <f t="shared" si="34"/>
        <v>2004</v>
      </c>
      <c r="F265" s="17">
        <v>38104</v>
      </c>
      <c r="G265" s="72" t="s">
        <v>678</v>
      </c>
      <c r="H265" s="72" t="s">
        <v>679</v>
      </c>
      <c r="I265" s="19">
        <v>15086</v>
      </c>
      <c r="J265" s="18" t="s">
        <v>475</v>
      </c>
      <c r="K265" s="20" t="s">
        <v>788</v>
      </c>
      <c r="L265" s="105">
        <v>0</v>
      </c>
      <c r="M265" s="88">
        <v>39199</v>
      </c>
      <c r="N265" s="20">
        <v>36</v>
      </c>
      <c r="O265" s="19">
        <f t="shared" si="35"/>
        <v>267</v>
      </c>
      <c r="P265" s="19" t="str">
        <f t="shared" si="36"/>
        <v>UMUR HABIS</v>
      </c>
    </row>
    <row r="266" spans="1:16" ht="27" x14ac:dyDescent="0.35">
      <c r="A266" s="15">
        <f t="shared" si="37"/>
        <v>88</v>
      </c>
      <c r="B266" s="16" t="s">
        <v>680</v>
      </c>
      <c r="C266" s="19">
        <f t="shared" si="32"/>
        <v>7</v>
      </c>
      <c r="D266" s="19">
        <f t="shared" si="33"/>
        <v>1</v>
      </c>
      <c r="E266" s="19">
        <f t="shared" si="34"/>
        <v>2013</v>
      </c>
      <c r="F266" s="17">
        <v>41281</v>
      </c>
      <c r="G266" s="72" t="s">
        <v>681</v>
      </c>
      <c r="H266" s="72" t="s">
        <v>682</v>
      </c>
      <c r="I266" s="19">
        <v>15087</v>
      </c>
      <c r="J266" s="18" t="s">
        <v>24</v>
      </c>
      <c r="K266" s="20" t="s">
        <v>683</v>
      </c>
      <c r="L266" s="105">
        <v>4698000</v>
      </c>
      <c r="M266" s="88">
        <v>43107</v>
      </c>
      <c r="N266" s="20">
        <v>60</v>
      </c>
      <c r="O266" s="19">
        <f t="shared" si="35"/>
        <v>163</v>
      </c>
      <c r="P266" s="19" t="str">
        <f t="shared" si="36"/>
        <v>UMUR HABIS</v>
      </c>
    </row>
    <row r="267" spans="1:16" ht="27" x14ac:dyDescent="0.35">
      <c r="A267" s="15">
        <f t="shared" si="37"/>
        <v>89</v>
      </c>
      <c r="B267" s="16" t="s">
        <v>684</v>
      </c>
      <c r="C267" s="19">
        <f t="shared" si="32"/>
        <v>30</v>
      </c>
      <c r="D267" s="19">
        <f t="shared" si="33"/>
        <v>11</v>
      </c>
      <c r="E267" s="19">
        <f t="shared" si="34"/>
        <v>2016</v>
      </c>
      <c r="F267" s="17">
        <v>42704</v>
      </c>
      <c r="G267" s="72" t="s">
        <v>685</v>
      </c>
      <c r="H267" s="72" t="s">
        <v>686</v>
      </c>
      <c r="I267" s="19">
        <v>15088</v>
      </c>
      <c r="J267" s="18" t="s">
        <v>24</v>
      </c>
      <c r="K267" s="20" t="s">
        <v>38</v>
      </c>
      <c r="L267" s="105">
        <v>6013700</v>
      </c>
      <c r="M267" s="88">
        <v>43799</v>
      </c>
      <c r="N267" s="20">
        <v>36</v>
      </c>
      <c r="O267" s="19">
        <f t="shared" si="35"/>
        <v>116</v>
      </c>
      <c r="P267" s="19" t="str">
        <f t="shared" si="36"/>
        <v>UMUR HABIS</v>
      </c>
    </row>
    <row r="268" spans="1:16" ht="27" x14ac:dyDescent="0.35">
      <c r="A268" s="15">
        <f t="shared" si="37"/>
        <v>90</v>
      </c>
      <c r="B268" s="16" t="s">
        <v>684</v>
      </c>
      <c r="C268" s="19">
        <f t="shared" si="32"/>
        <v>30</v>
      </c>
      <c r="D268" s="19">
        <f t="shared" si="33"/>
        <v>11</v>
      </c>
      <c r="E268" s="19">
        <f t="shared" si="34"/>
        <v>2016</v>
      </c>
      <c r="F268" s="17">
        <v>42704</v>
      </c>
      <c r="G268" s="72" t="s">
        <v>687</v>
      </c>
      <c r="H268" s="72" t="s">
        <v>688</v>
      </c>
      <c r="I268" s="19">
        <v>15089</v>
      </c>
      <c r="J268" s="18" t="s">
        <v>24</v>
      </c>
      <c r="K268" s="20" t="s">
        <v>195</v>
      </c>
      <c r="L268" s="105">
        <v>6013700</v>
      </c>
      <c r="M268" s="88">
        <v>43799</v>
      </c>
      <c r="N268" s="20">
        <v>36</v>
      </c>
      <c r="O268" s="19">
        <f t="shared" si="35"/>
        <v>116</v>
      </c>
      <c r="P268" s="19" t="str">
        <f t="shared" si="36"/>
        <v>UMUR HABIS</v>
      </c>
    </row>
    <row r="269" spans="1:16" ht="27" x14ac:dyDescent="0.35">
      <c r="A269" s="15">
        <f t="shared" si="37"/>
        <v>91</v>
      </c>
      <c r="B269" s="16" t="s">
        <v>684</v>
      </c>
      <c r="C269" s="19">
        <f t="shared" si="32"/>
        <v>30</v>
      </c>
      <c r="D269" s="19">
        <f t="shared" si="33"/>
        <v>11</v>
      </c>
      <c r="E269" s="19">
        <f t="shared" si="34"/>
        <v>2016</v>
      </c>
      <c r="F269" s="17">
        <v>42704</v>
      </c>
      <c r="G269" s="72" t="s">
        <v>689</v>
      </c>
      <c r="H269" s="72" t="s">
        <v>690</v>
      </c>
      <c r="I269" s="19">
        <v>15090</v>
      </c>
      <c r="J269" s="18" t="s">
        <v>24</v>
      </c>
      <c r="K269" s="20" t="s">
        <v>38</v>
      </c>
      <c r="L269" s="105">
        <v>6013700</v>
      </c>
      <c r="M269" s="88">
        <v>43799</v>
      </c>
      <c r="N269" s="20">
        <v>36</v>
      </c>
      <c r="O269" s="19">
        <f t="shared" si="35"/>
        <v>116</v>
      </c>
      <c r="P269" s="19" t="str">
        <f t="shared" si="36"/>
        <v>UMUR HABIS</v>
      </c>
    </row>
    <row r="270" spans="1:16" ht="27" x14ac:dyDescent="0.35">
      <c r="A270" s="15">
        <f t="shared" si="37"/>
        <v>92</v>
      </c>
      <c r="B270" s="16" t="s">
        <v>691</v>
      </c>
      <c r="C270" s="19">
        <f t="shared" si="32"/>
        <v>21</v>
      </c>
      <c r="D270" s="19">
        <f t="shared" si="33"/>
        <v>12</v>
      </c>
      <c r="E270" s="19">
        <f t="shared" si="34"/>
        <v>2017</v>
      </c>
      <c r="F270" s="17">
        <v>43090</v>
      </c>
      <c r="G270" s="72" t="s">
        <v>692</v>
      </c>
      <c r="H270" s="72" t="s">
        <v>693</v>
      </c>
      <c r="I270" s="19">
        <v>15091</v>
      </c>
      <c r="J270" s="18" t="s">
        <v>24</v>
      </c>
      <c r="K270" s="20" t="s">
        <v>195</v>
      </c>
      <c r="L270" s="105">
        <v>11998800</v>
      </c>
      <c r="M270" s="88">
        <v>44916</v>
      </c>
      <c r="N270" s="20">
        <v>60</v>
      </c>
      <c r="O270" s="19">
        <f t="shared" si="35"/>
        <v>103</v>
      </c>
      <c r="P270" s="19" t="str">
        <f t="shared" si="36"/>
        <v>UMUR HABIS</v>
      </c>
    </row>
    <row r="271" spans="1:16" ht="27" x14ac:dyDescent="0.35">
      <c r="A271" s="15">
        <f t="shared" si="37"/>
        <v>93</v>
      </c>
      <c r="B271" s="16" t="s">
        <v>694</v>
      </c>
      <c r="C271" s="19">
        <f t="shared" si="32"/>
        <v>29</v>
      </c>
      <c r="D271" s="19">
        <f t="shared" si="33"/>
        <v>3</v>
      </c>
      <c r="E271" s="19">
        <f t="shared" si="34"/>
        <v>2018</v>
      </c>
      <c r="F271" s="17">
        <v>43188</v>
      </c>
      <c r="G271" s="72" t="s">
        <v>695</v>
      </c>
      <c r="H271" s="72" t="s">
        <v>696</v>
      </c>
      <c r="I271" s="19">
        <v>15092</v>
      </c>
      <c r="J271" s="18" t="s">
        <v>113</v>
      </c>
      <c r="K271" s="20" t="s">
        <v>114</v>
      </c>
      <c r="L271" s="105">
        <v>0</v>
      </c>
      <c r="M271" s="88">
        <v>45014</v>
      </c>
      <c r="N271" s="20">
        <v>60</v>
      </c>
      <c r="O271" s="19">
        <f t="shared" si="35"/>
        <v>100</v>
      </c>
      <c r="P271" s="19" t="str">
        <f t="shared" si="36"/>
        <v>UMUR HABIS</v>
      </c>
    </row>
    <row r="272" spans="1:16" ht="27" x14ac:dyDescent="0.35">
      <c r="A272" s="15">
        <f t="shared" si="37"/>
        <v>94</v>
      </c>
      <c r="B272" s="16" t="s">
        <v>697</v>
      </c>
      <c r="C272" s="19">
        <f t="shared" si="32"/>
        <v>31</v>
      </c>
      <c r="D272" s="19">
        <f t="shared" si="33"/>
        <v>7</v>
      </c>
      <c r="E272" s="19">
        <f t="shared" si="34"/>
        <v>2019</v>
      </c>
      <c r="F272" s="17">
        <v>43677</v>
      </c>
      <c r="G272" s="72" t="s">
        <v>698</v>
      </c>
      <c r="H272" s="72" t="s">
        <v>699</v>
      </c>
      <c r="I272" s="19">
        <v>15093</v>
      </c>
      <c r="J272" s="18" t="s">
        <v>24</v>
      </c>
      <c r="K272" s="20" t="s">
        <v>195</v>
      </c>
      <c r="L272" s="105">
        <v>7948000</v>
      </c>
      <c r="M272" s="88">
        <v>45504</v>
      </c>
      <c r="N272" s="20">
        <v>60</v>
      </c>
      <c r="O272" s="19">
        <f t="shared" si="35"/>
        <v>84</v>
      </c>
      <c r="P272" s="19" t="str">
        <f t="shared" si="36"/>
        <v>UMUR HABIS</v>
      </c>
    </row>
    <row r="273" spans="1:16" ht="27" x14ac:dyDescent="0.35">
      <c r="A273" s="15">
        <f t="shared" si="37"/>
        <v>95</v>
      </c>
      <c r="B273" s="16" t="s">
        <v>700</v>
      </c>
      <c r="C273" s="19">
        <f t="shared" si="32"/>
        <v>31</v>
      </c>
      <c r="D273" s="19">
        <f t="shared" si="33"/>
        <v>7</v>
      </c>
      <c r="E273" s="19">
        <f t="shared" si="34"/>
        <v>2019</v>
      </c>
      <c r="F273" s="17">
        <v>43677</v>
      </c>
      <c r="G273" s="72" t="s">
        <v>701</v>
      </c>
      <c r="H273" s="72" t="s">
        <v>702</v>
      </c>
      <c r="I273" s="19">
        <v>15094</v>
      </c>
      <c r="J273" s="18" t="s">
        <v>24</v>
      </c>
      <c r="K273" s="20" t="s">
        <v>195</v>
      </c>
      <c r="L273" s="105">
        <v>3243000</v>
      </c>
      <c r="M273" s="88">
        <v>45504</v>
      </c>
      <c r="N273" s="20">
        <v>60</v>
      </c>
      <c r="O273" s="19">
        <f t="shared" si="35"/>
        <v>84</v>
      </c>
      <c r="P273" s="19" t="str">
        <f t="shared" si="36"/>
        <v>UMUR HABIS</v>
      </c>
    </row>
    <row r="274" spans="1:16" ht="27" x14ac:dyDescent="0.35">
      <c r="A274" s="15">
        <f t="shared" si="37"/>
        <v>96</v>
      </c>
      <c r="B274" s="16" t="s">
        <v>703</v>
      </c>
      <c r="C274" s="19">
        <f t="shared" si="32"/>
        <v>31</v>
      </c>
      <c r="D274" s="19">
        <f t="shared" si="33"/>
        <v>7</v>
      </c>
      <c r="E274" s="19">
        <f t="shared" si="34"/>
        <v>2019</v>
      </c>
      <c r="F274" s="17">
        <v>43677</v>
      </c>
      <c r="G274" s="72" t="s">
        <v>704</v>
      </c>
      <c r="H274" s="72" t="s">
        <v>705</v>
      </c>
      <c r="I274" s="19">
        <v>15096</v>
      </c>
      <c r="J274" s="18" t="s">
        <v>24</v>
      </c>
      <c r="K274" s="20" t="s">
        <v>195</v>
      </c>
      <c r="L274" s="105">
        <v>14850000</v>
      </c>
      <c r="M274" s="88">
        <v>45504</v>
      </c>
      <c r="N274" s="20">
        <v>60</v>
      </c>
      <c r="O274" s="19">
        <f t="shared" si="35"/>
        <v>84</v>
      </c>
      <c r="P274" s="19" t="str">
        <f t="shared" si="36"/>
        <v>UMUR HABIS</v>
      </c>
    </row>
    <row r="275" spans="1:16" ht="27" x14ac:dyDescent="0.35">
      <c r="A275" s="15">
        <f t="shared" si="37"/>
        <v>97</v>
      </c>
      <c r="B275" s="16" t="s">
        <v>706</v>
      </c>
      <c r="C275" s="19">
        <f t="shared" si="32"/>
        <v>30</v>
      </c>
      <c r="D275" s="19">
        <f t="shared" si="33"/>
        <v>3</v>
      </c>
      <c r="E275" s="19">
        <f t="shared" si="34"/>
        <v>2020</v>
      </c>
      <c r="F275" s="17">
        <v>43920</v>
      </c>
      <c r="G275" s="72" t="s">
        <v>707</v>
      </c>
      <c r="H275" s="72" t="s">
        <v>708</v>
      </c>
      <c r="I275" s="19">
        <v>15097</v>
      </c>
      <c r="J275" s="18" t="s">
        <v>24</v>
      </c>
      <c r="K275" s="20" t="s">
        <v>195</v>
      </c>
      <c r="L275" s="105">
        <v>6063200</v>
      </c>
      <c r="M275" s="88">
        <v>45015</v>
      </c>
      <c r="N275" s="20">
        <v>36</v>
      </c>
      <c r="O275" s="19">
        <f t="shared" si="35"/>
        <v>76</v>
      </c>
      <c r="P275" s="19" t="str">
        <f t="shared" ref="P275:P280" si="38">IF(F275="","",IF(O275&gt;=N275,"UMUR HABIS",N275-O275))</f>
        <v>UMUR HABIS</v>
      </c>
    </row>
    <row r="276" spans="1:16" ht="27" x14ac:dyDescent="0.35">
      <c r="A276" s="15">
        <f t="shared" si="37"/>
        <v>98</v>
      </c>
      <c r="B276" s="16" t="s">
        <v>709</v>
      </c>
      <c r="C276" s="19">
        <f t="shared" si="32"/>
        <v>27</v>
      </c>
      <c r="D276" s="19">
        <f t="shared" si="33"/>
        <v>3</v>
      </c>
      <c r="E276" s="19">
        <f t="shared" si="34"/>
        <v>2020</v>
      </c>
      <c r="F276" s="17">
        <v>43917</v>
      </c>
      <c r="G276" s="72" t="s">
        <v>710</v>
      </c>
      <c r="H276" s="72" t="s">
        <v>711</v>
      </c>
      <c r="I276" s="19">
        <v>15098</v>
      </c>
      <c r="J276" s="18" t="s">
        <v>24</v>
      </c>
      <c r="K276" s="20" t="s">
        <v>195</v>
      </c>
      <c r="L276" s="105">
        <v>7975000</v>
      </c>
      <c r="M276" s="88">
        <v>45743</v>
      </c>
      <c r="N276" s="20">
        <v>60</v>
      </c>
      <c r="O276" s="19">
        <f t="shared" si="35"/>
        <v>76</v>
      </c>
      <c r="P276" s="19" t="str">
        <f t="shared" si="38"/>
        <v>UMUR HABIS</v>
      </c>
    </row>
    <row r="277" spans="1:16" ht="27" x14ac:dyDescent="0.35">
      <c r="A277" s="15">
        <f t="shared" si="37"/>
        <v>99</v>
      </c>
      <c r="B277" s="16" t="s">
        <v>712</v>
      </c>
      <c r="C277" s="19">
        <f t="shared" si="32"/>
        <v>9</v>
      </c>
      <c r="D277" s="19">
        <f t="shared" si="33"/>
        <v>4</v>
      </c>
      <c r="E277" s="19">
        <f t="shared" si="34"/>
        <v>2021</v>
      </c>
      <c r="F277" s="17">
        <v>44295</v>
      </c>
      <c r="G277" s="72" t="s">
        <v>713</v>
      </c>
      <c r="H277" s="72" t="s">
        <v>714</v>
      </c>
      <c r="I277" s="19">
        <v>15099</v>
      </c>
      <c r="J277" s="18" t="s">
        <v>24</v>
      </c>
      <c r="K277" s="20" t="s">
        <v>195</v>
      </c>
      <c r="L277" s="105">
        <v>14102000</v>
      </c>
      <c r="M277" s="88">
        <v>46121</v>
      </c>
      <c r="N277" s="20">
        <v>60</v>
      </c>
      <c r="O277" s="19">
        <f t="shared" si="35"/>
        <v>64</v>
      </c>
      <c r="P277" s="19" t="str">
        <f t="shared" si="38"/>
        <v>UMUR HABIS</v>
      </c>
    </row>
    <row r="278" spans="1:16" ht="27" x14ac:dyDescent="0.35">
      <c r="A278" s="15">
        <f t="shared" si="37"/>
        <v>100</v>
      </c>
      <c r="B278" s="16" t="s">
        <v>632</v>
      </c>
      <c r="C278" s="19">
        <f t="shared" si="32"/>
        <v>9</v>
      </c>
      <c r="D278" s="19">
        <f t="shared" si="33"/>
        <v>4</v>
      </c>
      <c r="E278" s="19">
        <f t="shared" si="34"/>
        <v>2021</v>
      </c>
      <c r="F278" s="17">
        <v>44295</v>
      </c>
      <c r="G278" s="72" t="s">
        <v>715</v>
      </c>
      <c r="H278" s="72" t="s">
        <v>716</v>
      </c>
      <c r="I278" s="19">
        <v>15100</v>
      </c>
      <c r="J278" s="18" t="s">
        <v>24</v>
      </c>
      <c r="K278" s="20" t="s">
        <v>195</v>
      </c>
      <c r="L278" s="105">
        <v>11209000</v>
      </c>
      <c r="M278" s="88">
        <v>46121</v>
      </c>
      <c r="N278" s="20">
        <v>60</v>
      </c>
      <c r="O278" s="19">
        <f t="shared" si="35"/>
        <v>64</v>
      </c>
      <c r="P278" s="19" t="str">
        <f t="shared" si="38"/>
        <v>UMUR HABIS</v>
      </c>
    </row>
    <row r="279" spans="1:16" ht="27" x14ac:dyDescent="0.35">
      <c r="A279" s="15">
        <f t="shared" si="37"/>
        <v>101</v>
      </c>
      <c r="B279" s="16" t="s">
        <v>717</v>
      </c>
      <c r="C279" s="19">
        <f t="shared" si="32"/>
        <v>11</v>
      </c>
      <c r="D279" s="19">
        <f t="shared" si="33"/>
        <v>7</v>
      </c>
      <c r="E279" s="19">
        <f t="shared" si="34"/>
        <v>2025</v>
      </c>
      <c r="F279" s="17">
        <v>45849</v>
      </c>
      <c r="G279" s="72" t="s">
        <v>718</v>
      </c>
      <c r="H279" s="72" t="s">
        <v>719</v>
      </c>
      <c r="I279" s="19">
        <v>15865</v>
      </c>
      <c r="J279" s="18" t="s">
        <v>24</v>
      </c>
      <c r="K279" s="20" t="s">
        <v>283</v>
      </c>
      <c r="L279" s="105">
        <v>6250000</v>
      </c>
      <c r="M279" s="88">
        <v>47675</v>
      </c>
      <c r="N279" s="20">
        <v>60</v>
      </c>
      <c r="O279" s="19">
        <v>0</v>
      </c>
      <c r="P279" s="19">
        <f t="shared" si="38"/>
        <v>60</v>
      </c>
    </row>
    <row r="280" spans="1:16" ht="27" x14ac:dyDescent="0.35">
      <c r="A280" s="15">
        <f t="shared" si="37"/>
        <v>102</v>
      </c>
      <c r="B280" s="16" t="s">
        <v>720</v>
      </c>
      <c r="C280" s="19">
        <f t="shared" si="32"/>
        <v>11</v>
      </c>
      <c r="D280" s="19">
        <f t="shared" si="33"/>
        <v>7</v>
      </c>
      <c r="E280" s="19">
        <f t="shared" si="34"/>
        <v>2025</v>
      </c>
      <c r="F280" s="17">
        <v>45849</v>
      </c>
      <c r="G280" s="72" t="s">
        <v>721</v>
      </c>
      <c r="H280" s="72" t="s">
        <v>722</v>
      </c>
      <c r="I280" s="19">
        <v>15866</v>
      </c>
      <c r="J280" s="18" t="s">
        <v>24</v>
      </c>
      <c r="K280" s="20" t="s">
        <v>283</v>
      </c>
      <c r="L280" s="105">
        <v>3750000</v>
      </c>
      <c r="M280" s="88">
        <v>47675</v>
      </c>
      <c r="N280" s="20">
        <v>60</v>
      </c>
      <c r="O280" s="19">
        <v>0</v>
      </c>
      <c r="P280" s="19">
        <f t="shared" si="38"/>
        <v>60</v>
      </c>
    </row>
    <row r="281" spans="1:16" ht="27" x14ac:dyDescent="0.35">
      <c r="A281" s="15">
        <f t="shared" si="37"/>
        <v>103</v>
      </c>
      <c r="B281" s="16" t="s">
        <v>789</v>
      </c>
      <c r="C281" s="19">
        <v>9</v>
      </c>
      <c r="D281" s="19">
        <v>9</v>
      </c>
      <c r="E281" s="19">
        <v>2025</v>
      </c>
      <c r="F281" s="102">
        <v>45909</v>
      </c>
      <c r="G281" s="72"/>
      <c r="H281" s="72" t="s">
        <v>813</v>
      </c>
      <c r="I281" s="19">
        <v>17587</v>
      </c>
      <c r="J281" s="18" t="s">
        <v>24</v>
      </c>
      <c r="K281" s="20" t="s">
        <v>76</v>
      </c>
      <c r="L281" s="105">
        <v>79593216</v>
      </c>
      <c r="M281" s="102">
        <v>47005</v>
      </c>
      <c r="N281" s="20">
        <v>60</v>
      </c>
      <c r="O281" s="19">
        <v>1</v>
      </c>
      <c r="P281" s="19">
        <f t="shared" ref="P281:P293" si="39">IF(F281="","",IF(O281&gt;=N281,"UMUR HABIS",N281-O281))</f>
        <v>59</v>
      </c>
    </row>
    <row r="282" spans="1:16" ht="27" x14ac:dyDescent="0.35">
      <c r="A282" s="15">
        <f t="shared" si="37"/>
        <v>104</v>
      </c>
      <c r="B282" s="16" t="s">
        <v>790</v>
      </c>
      <c r="C282" s="19">
        <v>15</v>
      </c>
      <c r="D282" s="19">
        <v>9</v>
      </c>
      <c r="E282" s="19">
        <v>2025</v>
      </c>
      <c r="F282" s="102">
        <v>45915</v>
      </c>
      <c r="G282" s="72"/>
      <c r="H282" s="72" t="s">
        <v>801</v>
      </c>
      <c r="I282" s="19">
        <v>17615</v>
      </c>
      <c r="J282" s="18" t="s">
        <v>24</v>
      </c>
      <c r="K282" s="20" t="s">
        <v>56</v>
      </c>
      <c r="L282" s="105">
        <v>13699986</v>
      </c>
      <c r="M282" s="102">
        <v>47741</v>
      </c>
      <c r="N282" s="20">
        <v>60</v>
      </c>
      <c r="O282" s="19">
        <v>2</v>
      </c>
      <c r="P282" s="19">
        <f t="shared" si="39"/>
        <v>58</v>
      </c>
    </row>
    <row r="283" spans="1:16" ht="27" x14ac:dyDescent="0.35">
      <c r="A283" s="15">
        <f t="shared" si="37"/>
        <v>105</v>
      </c>
      <c r="B283" s="16" t="s">
        <v>791</v>
      </c>
      <c r="C283" s="19">
        <v>8</v>
      </c>
      <c r="D283" s="19">
        <v>9</v>
      </c>
      <c r="E283" s="19">
        <v>2025</v>
      </c>
      <c r="F283" s="102">
        <v>45908</v>
      </c>
      <c r="G283" s="72"/>
      <c r="H283" s="72" t="s">
        <v>802</v>
      </c>
      <c r="I283" s="19">
        <v>17618</v>
      </c>
      <c r="J283" s="18" t="s">
        <v>811</v>
      </c>
      <c r="K283" s="20" t="s">
        <v>812</v>
      </c>
      <c r="L283" s="105">
        <v>7004999</v>
      </c>
      <c r="M283" s="102">
        <v>47004</v>
      </c>
      <c r="N283" s="20">
        <v>36</v>
      </c>
      <c r="O283" s="19">
        <v>3</v>
      </c>
      <c r="P283" s="19">
        <f t="shared" si="39"/>
        <v>33</v>
      </c>
    </row>
    <row r="284" spans="1:16" ht="27" x14ac:dyDescent="0.35">
      <c r="A284" s="15">
        <f t="shared" si="37"/>
        <v>106</v>
      </c>
      <c r="B284" s="16" t="s">
        <v>791</v>
      </c>
      <c r="C284" s="19">
        <v>8</v>
      </c>
      <c r="D284" s="19">
        <v>9</v>
      </c>
      <c r="E284" s="19">
        <v>2025</v>
      </c>
      <c r="F284" s="102">
        <v>45908</v>
      </c>
      <c r="G284" s="72"/>
      <c r="H284" s="72" t="s">
        <v>802</v>
      </c>
      <c r="I284" s="19">
        <v>17619</v>
      </c>
      <c r="J284" s="18" t="s">
        <v>811</v>
      </c>
      <c r="K284" s="20" t="s">
        <v>812</v>
      </c>
      <c r="L284" s="105">
        <v>7004999</v>
      </c>
      <c r="M284" s="102">
        <v>47004</v>
      </c>
      <c r="N284" s="20">
        <v>36</v>
      </c>
      <c r="O284" s="19">
        <v>4</v>
      </c>
      <c r="P284" s="19">
        <f t="shared" si="39"/>
        <v>32</v>
      </c>
    </row>
    <row r="285" spans="1:16" ht="27" x14ac:dyDescent="0.35">
      <c r="A285" s="15">
        <f t="shared" si="37"/>
        <v>107</v>
      </c>
      <c r="B285" s="16" t="s">
        <v>792</v>
      </c>
      <c r="C285" s="19">
        <v>8</v>
      </c>
      <c r="D285" s="19">
        <v>9</v>
      </c>
      <c r="E285" s="19">
        <v>2025</v>
      </c>
      <c r="F285" s="102">
        <v>45908</v>
      </c>
      <c r="G285" s="72"/>
      <c r="H285" s="72" t="s">
        <v>802</v>
      </c>
      <c r="I285" s="19">
        <v>17620</v>
      </c>
      <c r="J285" s="18" t="s">
        <v>811</v>
      </c>
      <c r="K285" s="20" t="s">
        <v>812</v>
      </c>
      <c r="L285" s="105">
        <v>10702703</v>
      </c>
      <c r="M285" s="102">
        <v>47004</v>
      </c>
      <c r="N285" s="20">
        <v>36</v>
      </c>
      <c r="O285" s="19">
        <v>5</v>
      </c>
      <c r="P285" s="19">
        <f t="shared" si="39"/>
        <v>31</v>
      </c>
    </row>
    <row r="286" spans="1:16" ht="27" x14ac:dyDescent="0.35">
      <c r="A286" s="15">
        <f t="shared" si="37"/>
        <v>108</v>
      </c>
      <c r="B286" s="16" t="s">
        <v>793</v>
      </c>
      <c r="C286" s="19">
        <v>5</v>
      </c>
      <c r="D286" s="19">
        <v>3</v>
      </c>
      <c r="E286" s="19">
        <v>2026</v>
      </c>
      <c r="F286" s="102">
        <v>46086</v>
      </c>
      <c r="G286" s="72"/>
      <c r="H286" s="72" t="s">
        <v>803</v>
      </c>
      <c r="I286" s="19">
        <v>18822</v>
      </c>
      <c r="J286" s="18" t="s">
        <v>24</v>
      </c>
      <c r="K286" s="20" t="s">
        <v>195</v>
      </c>
      <c r="L286" s="105">
        <v>18176250</v>
      </c>
      <c r="M286" s="102">
        <v>47912</v>
      </c>
      <c r="N286" s="20">
        <v>60</v>
      </c>
      <c r="O286" s="19">
        <v>6</v>
      </c>
      <c r="P286" s="19">
        <f t="shared" si="39"/>
        <v>54</v>
      </c>
    </row>
    <row r="287" spans="1:16" ht="27" x14ac:dyDescent="0.35">
      <c r="A287" s="15">
        <f t="shared" si="37"/>
        <v>109</v>
      </c>
      <c r="B287" s="16" t="s">
        <v>794</v>
      </c>
      <c r="C287" s="19">
        <v>13</v>
      </c>
      <c r="D287" s="19">
        <v>7</v>
      </c>
      <c r="E287" s="19">
        <v>2026</v>
      </c>
      <c r="F287" s="102">
        <v>46216</v>
      </c>
      <c r="G287" s="72"/>
      <c r="H287" s="72" t="s">
        <v>804</v>
      </c>
      <c r="I287" s="19">
        <v>19887</v>
      </c>
      <c r="J287" s="18" t="s">
        <v>24</v>
      </c>
      <c r="K287" s="20"/>
      <c r="L287" s="105">
        <v>3219000</v>
      </c>
      <c r="M287" s="102">
        <v>46947</v>
      </c>
      <c r="N287" s="20">
        <v>24</v>
      </c>
      <c r="O287" s="19">
        <v>7</v>
      </c>
      <c r="P287" s="19">
        <f t="shared" si="39"/>
        <v>17</v>
      </c>
    </row>
    <row r="288" spans="1:16" ht="27" x14ac:dyDescent="0.35">
      <c r="A288" s="15">
        <f t="shared" si="37"/>
        <v>110</v>
      </c>
      <c r="B288" s="16" t="s">
        <v>795</v>
      </c>
      <c r="C288" s="19">
        <v>13</v>
      </c>
      <c r="D288" s="19">
        <v>7</v>
      </c>
      <c r="E288" s="19">
        <v>2026</v>
      </c>
      <c r="F288" s="102">
        <v>46216</v>
      </c>
      <c r="G288" s="72"/>
      <c r="H288" s="72" t="s">
        <v>805</v>
      </c>
      <c r="I288" s="19">
        <v>19888</v>
      </c>
      <c r="J288" s="18" t="s">
        <v>24</v>
      </c>
      <c r="K288" s="20"/>
      <c r="L288" s="105">
        <v>3219000</v>
      </c>
      <c r="M288" s="102">
        <v>46947</v>
      </c>
      <c r="N288" s="20">
        <v>24</v>
      </c>
      <c r="O288" s="19">
        <v>8</v>
      </c>
      <c r="P288" s="19">
        <f t="shared" si="39"/>
        <v>16</v>
      </c>
    </row>
    <row r="289" spans="1:16" ht="27" x14ac:dyDescent="0.35">
      <c r="A289" s="15">
        <f t="shared" si="37"/>
        <v>111</v>
      </c>
      <c r="B289" s="16" t="s">
        <v>796</v>
      </c>
      <c r="C289" s="19">
        <v>13</v>
      </c>
      <c r="D289" s="19">
        <v>7</v>
      </c>
      <c r="E289" s="19">
        <v>2026</v>
      </c>
      <c r="F289" s="102">
        <v>46216</v>
      </c>
      <c r="G289" s="72"/>
      <c r="H289" s="72" t="s">
        <v>806</v>
      </c>
      <c r="I289" s="19">
        <v>19889</v>
      </c>
      <c r="J289" s="18" t="s">
        <v>24</v>
      </c>
      <c r="K289" s="20"/>
      <c r="L289" s="105">
        <v>3219000</v>
      </c>
      <c r="M289" s="102">
        <v>46947</v>
      </c>
      <c r="N289" s="20">
        <v>24</v>
      </c>
      <c r="O289" s="19">
        <v>9</v>
      </c>
      <c r="P289" s="19">
        <f t="shared" si="39"/>
        <v>15</v>
      </c>
    </row>
    <row r="290" spans="1:16" ht="27" x14ac:dyDescent="0.35">
      <c r="A290" s="15">
        <f t="shared" si="37"/>
        <v>112</v>
      </c>
      <c r="B290" s="16" t="s">
        <v>797</v>
      </c>
      <c r="C290" s="19">
        <v>13</v>
      </c>
      <c r="D290" s="19">
        <v>7</v>
      </c>
      <c r="E290" s="19">
        <v>2026</v>
      </c>
      <c r="F290" s="102">
        <v>46216</v>
      </c>
      <c r="G290" s="72"/>
      <c r="H290" s="72" t="s">
        <v>807</v>
      </c>
      <c r="I290" s="19">
        <v>19890</v>
      </c>
      <c r="J290" s="18" t="s">
        <v>24</v>
      </c>
      <c r="K290" s="20"/>
      <c r="L290" s="105">
        <v>3219000</v>
      </c>
      <c r="M290" s="102">
        <v>46947</v>
      </c>
      <c r="N290" s="20">
        <v>24</v>
      </c>
      <c r="O290" s="19">
        <v>10</v>
      </c>
      <c r="P290" s="19">
        <f t="shared" si="39"/>
        <v>14</v>
      </c>
    </row>
    <row r="291" spans="1:16" ht="27" x14ac:dyDescent="0.35">
      <c r="A291" s="15">
        <f t="shared" si="37"/>
        <v>113</v>
      </c>
      <c r="B291" s="16" t="s">
        <v>798</v>
      </c>
      <c r="C291" s="19">
        <v>13</v>
      </c>
      <c r="D291" s="19">
        <v>7</v>
      </c>
      <c r="E291" s="19">
        <v>2026</v>
      </c>
      <c r="F291" s="102">
        <v>46216</v>
      </c>
      <c r="G291" s="72"/>
      <c r="H291" s="72" t="s">
        <v>808</v>
      </c>
      <c r="I291" s="19">
        <v>19891</v>
      </c>
      <c r="J291" s="18" t="s">
        <v>24</v>
      </c>
      <c r="K291" s="20"/>
      <c r="L291" s="105">
        <v>3219000</v>
      </c>
      <c r="M291" s="102">
        <v>46947</v>
      </c>
      <c r="N291" s="20">
        <v>24</v>
      </c>
      <c r="O291" s="19">
        <v>11</v>
      </c>
      <c r="P291" s="19">
        <f t="shared" si="39"/>
        <v>13</v>
      </c>
    </row>
    <row r="292" spans="1:16" ht="27" x14ac:dyDescent="0.35">
      <c r="A292" s="15">
        <f t="shared" si="37"/>
        <v>114</v>
      </c>
      <c r="B292" s="16" t="s">
        <v>799</v>
      </c>
      <c r="C292" s="19">
        <v>13</v>
      </c>
      <c r="D292" s="19">
        <v>7</v>
      </c>
      <c r="E292" s="19">
        <v>2026</v>
      </c>
      <c r="F292" s="102">
        <v>46216</v>
      </c>
      <c r="G292" s="72"/>
      <c r="H292" s="72" t="s">
        <v>809</v>
      </c>
      <c r="I292" s="19">
        <v>19892</v>
      </c>
      <c r="J292" s="18" t="s">
        <v>24</v>
      </c>
      <c r="K292" s="20"/>
      <c r="L292" s="105">
        <v>3219000</v>
      </c>
      <c r="M292" s="102">
        <v>46947</v>
      </c>
      <c r="N292" s="20">
        <v>24</v>
      </c>
      <c r="O292" s="19">
        <v>12</v>
      </c>
      <c r="P292" s="19">
        <f t="shared" si="39"/>
        <v>12</v>
      </c>
    </row>
    <row r="293" spans="1:16" ht="27" x14ac:dyDescent="0.35">
      <c r="A293" s="15">
        <f t="shared" si="37"/>
        <v>115</v>
      </c>
      <c r="B293" s="16" t="s">
        <v>800</v>
      </c>
      <c r="C293" s="19">
        <v>13</v>
      </c>
      <c r="D293" s="19">
        <v>7</v>
      </c>
      <c r="E293" s="19">
        <v>2026</v>
      </c>
      <c r="F293" s="102">
        <v>46216</v>
      </c>
      <c r="G293" s="72"/>
      <c r="H293" s="72" t="s">
        <v>810</v>
      </c>
      <c r="I293" s="19">
        <v>19893</v>
      </c>
      <c r="J293" s="18" t="s">
        <v>24</v>
      </c>
      <c r="K293" s="20"/>
      <c r="L293" s="105">
        <v>3219000</v>
      </c>
      <c r="M293" s="102">
        <v>46947</v>
      </c>
      <c r="N293" s="20">
        <v>24</v>
      </c>
      <c r="O293" s="19">
        <v>13</v>
      </c>
      <c r="P293" s="19">
        <f t="shared" si="39"/>
        <v>11</v>
      </c>
    </row>
    <row r="294" spans="1:16" x14ac:dyDescent="0.35">
      <c r="A294" s="15"/>
      <c r="B294" s="16"/>
      <c r="C294" s="32"/>
      <c r="D294" s="32"/>
      <c r="E294" s="32"/>
      <c r="F294" s="17"/>
      <c r="G294" s="72"/>
      <c r="H294" s="72"/>
      <c r="I294" s="19"/>
      <c r="J294" s="18"/>
      <c r="K294" s="20"/>
      <c r="L294" s="105"/>
      <c r="M294" s="88"/>
      <c r="N294" s="93"/>
      <c r="O294" s="32"/>
      <c r="P294" s="32"/>
    </row>
    <row r="295" spans="1:16" x14ac:dyDescent="0.35">
      <c r="A295" s="9" t="s">
        <v>723</v>
      </c>
      <c r="B295" s="10" t="s">
        <v>724</v>
      </c>
      <c r="C295" s="30"/>
      <c r="D295" s="30"/>
      <c r="E295" s="30"/>
      <c r="F295" s="17"/>
      <c r="G295" s="72"/>
      <c r="H295" s="72"/>
      <c r="I295" s="19"/>
      <c r="J295" s="18"/>
      <c r="K295" s="20"/>
      <c r="L295" s="105"/>
      <c r="M295" s="88"/>
      <c r="N295" s="93"/>
      <c r="O295" s="32"/>
      <c r="P295" s="32"/>
    </row>
    <row r="296" spans="1:16" ht="27" x14ac:dyDescent="0.35">
      <c r="A296" s="15">
        <v>1</v>
      </c>
      <c r="B296" s="16" t="s">
        <v>725</v>
      </c>
      <c r="C296" s="19">
        <f t="shared" ref="C296:C302" si="40">DAY(F296)</f>
        <v>30</v>
      </c>
      <c r="D296" s="19">
        <f t="shared" ref="D296:D302" si="41">MONTH(F296)</f>
        <v>4</v>
      </c>
      <c r="E296" s="19">
        <f t="shared" ref="E296:E302" si="42">YEAR(F296)</f>
        <v>2020</v>
      </c>
      <c r="F296" s="17">
        <v>43951</v>
      </c>
      <c r="G296" s="72" t="s">
        <v>726</v>
      </c>
      <c r="H296" s="72" t="s">
        <v>727</v>
      </c>
      <c r="I296" s="19">
        <v>14693</v>
      </c>
      <c r="J296" s="18" t="s">
        <v>24</v>
      </c>
      <c r="K296" s="20" t="s">
        <v>728</v>
      </c>
      <c r="L296" s="105">
        <v>10800000</v>
      </c>
      <c r="M296" s="88">
        <v>45777</v>
      </c>
      <c r="N296" s="20">
        <v>60</v>
      </c>
      <c r="O296" s="19">
        <f t="shared" ref="O296:O302" si="43">IF(F296="","",ROUND((($O$4-F296)*12/365),0))</f>
        <v>75</v>
      </c>
      <c r="P296" s="19" t="str">
        <f t="shared" ref="P296:P302" si="44">IF(F296="","",IF(O296&gt;=N296,"UMUR HABIS",N296-O296))</f>
        <v>UMUR HABIS</v>
      </c>
    </row>
    <row r="297" spans="1:16" ht="27" x14ac:dyDescent="0.35">
      <c r="A297" s="15">
        <v>2</v>
      </c>
      <c r="B297" s="16" t="s">
        <v>729</v>
      </c>
      <c r="C297" s="19">
        <f t="shared" si="40"/>
        <v>30</v>
      </c>
      <c r="D297" s="19">
        <f t="shared" si="41"/>
        <v>4</v>
      </c>
      <c r="E297" s="19">
        <f t="shared" si="42"/>
        <v>2020</v>
      </c>
      <c r="F297" s="17">
        <v>43951</v>
      </c>
      <c r="G297" s="72" t="s">
        <v>726</v>
      </c>
      <c r="H297" s="72" t="s">
        <v>727</v>
      </c>
      <c r="I297" s="19">
        <v>14695</v>
      </c>
      <c r="J297" s="18" t="s">
        <v>24</v>
      </c>
      <c r="K297" s="20" t="s">
        <v>728</v>
      </c>
      <c r="L297" s="105">
        <v>5400000</v>
      </c>
      <c r="M297" s="88">
        <v>45777</v>
      </c>
      <c r="N297" s="20">
        <v>60</v>
      </c>
      <c r="O297" s="19">
        <f t="shared" si="43"/>
        <v>75</v>
      </c>
      <c r="P297" s="19" t="str">
        <f t="shared" si="44"/>
        <v>UMUR HABIS</v>
      </c>
    </row>
    <row r="298" spans="1:16" ht="27" x14ac:dyDescent="0.35">
      <c r="A298" s="15">
        <v>3</v>
      </c>
      <c r="B298" s="16" t="s">
        <v>730</v>
      </c>
      <c r="C298" s="19">
        <f t="shared" si="40"/>
        <v>30</v>
      </c>
      <c r="D298" s="19">
        <f t="shared" si="41"/>
        <v>6</v>
      </c>
      <c r="E298" s="19">
        <f t="shared" si="42"/>
        <v>2020</v>
      </c>
      <c r="F298" s="17">
        <v>44012</v>
      </c>
      <c r="G298" s="72" t="s">
        <v>731</v>
      </c>
      <c r="H298" s="72" t="s">
        <v>732</v>
      </c>
      <c r="I298" s="19">
        <v>14697</v>
      </c>
      <c r="J298" s="18" t="s">
        <v>24</v>
      </c>
      <c r="K298" s="20" t="s">
        <v>733</v>
      </c>
      <c r="L298" s="105">
        <v>5852000</v>
      </c>
      <c r="M298" s="88">
        <v>45838</v>
      </c>
      <c r="N298" s="20">
        <v>60</v>
      </c>
      <c r="O298" s="19">
        <f t="shared" si="43"/>
        <v>73</v>
      </c>
      <c r="P298" s="19" t="str">
        <f t="shared" si="44"/>
        <v>UMUR HABIS</v>
      </c>
    </row>
    <row r="299" spans="1:16" ht="27" x14ac:dyDescent="0.35">
      <c r="A299" s="15">
        <v>4</v>
      </c>
      <c r="B299" s="16" t="s">
        <v>734</v>
      </c>
      <c r="C299" s="19">
        <f t="shared" si="40"/>
        <v>30</v>
      </c>
      <c r="D299" s="19">
        <f t="shared" si="41"/>
        <v>11</v>
      </c>
      <c r="E299" s="19">
        <f t="shared" si="42"/>
        <v>2010</v>
      </c>
      <c r="F299" s="17">
        <v>40512</v>
      </c>
      <c r="G299" s="72" t="s">
        <v>735</v>
      </c>
      <c r="H299" s="72" t="s">
        <v>736</v>
      </c>
      <c r="I299" s="19">
        <v>14743</v>
      </c>
      <c r="J299" s="18" t="s">
        <v>24</v>
      </c>
      <c r="K299" s="20" t="s">
        <v>728</v>
      </c>
      <c r="L299" s="105">
        <v>4675000</v>
      </c>
      <c r="M299" s="88">
        <v>42338</v>
      </c>
      <c r="N299" s="20">
        <v>60</v>
      </c>
      <c r="O299" s="19">
        <f t="shared" si="43"/>
        <v>188</v>
      </c>
      <c r="P299" s="19" t="str">
        <f t="shared" si="44"/>
        <v>UMUR HABIS</v>
      </c>
    </row>
    <row r="300" spans="1:16" ht="27" x14ac:dyDescent="0.35">
      <c r="A300" s="15">
        <v>5</v>
      </c>
      <c r="B300" s="16" t="s">
        <v>737</v>
      </c>
      <c r="C300" s="19">
        <f t="shared" si="40"/>
        <v>18</v>
      </c>
      <c r="D300" s="19">
        <f t="shared" si="41"/>
        <v>12</v>
      </c>
      <c r="E300" s="19">
        <f t="shared" si="42"/>
        <v>2014</v>
      </c>
      <c r="F300" s="17">
        <v>41991</v>
      </c>
      <c r="G300" s="72" t="s">
        <v>738</v>
      </c>
      <c r="H300" s="72" t="s">
        <v>739</v>
      </c>
      <c r="I300" s="19">
        <v>14746</v>
      </c>
      <c r="J300" s="18" t="s">
        <v>24</v>
      </c>
      <c r="K300" s="20" t="s">
        <v>728</v>
      </c>
      <c r="L300" s="105">
        <v>3148000</v>
      </c>
      <c r="M300" s="88">
        <v>43817</v>
      </c>
      <c r="N300" s="20">
        <v>60</v>
      </c>
      <c r="O300" s="19">
        <f t="shared" si="43"/>
        <v>139</v>
      </c>
      <c r="P300" s="19" t="str">
        <f t="shared" si="44"/>
        <v>UMUR HABIS</v>
      </c>
    </row>
    <row r="301" spans="1:16" ht="27" x14ac:dyDescent="0.35">
      <c r="A301" s="15">
        <v>6</v>
      </c>
      <c r="B301" s="16" t="s">
        <v>740</v>
      </c>
      <c r="C301" s="19">
        <f t="shared" si="40"/>
        <v>11</v>
      </c>
      <c r="D301" s="19">
        <f t="shared" si="41"/>
        <v>7</v>
      </c>
      <c r="E301" s="19">
        <f t="shared" si="42"/>
        <v>2016</v>
      </c>
      <c r="F301" s="17">
        <v>42562</v>
      </c>
      <c r="G301" s="72" t="s">
        <v>741</v>
      </c>
      <c r="H301" s="72" t="s">
        <v>742</v>
      </c>
      <c r="I301" s="19">
        <v>14747</v>
      </c>
      <c r="J301" s="18" t="s">
        <v>24</v>
      </c>
      <c r="K301" s="20" t="s">
        <v>603</v>
      </c>
      <c r="L301" s="105">
        <v>4510000</v>
      </c>
      <c r="M301" s="88">
        <v>44388</v>
      </c>
      <c r="N301" s="20">
        <v>60</v>
      </c>
      <c r="O301" s="19">
        <f t="shared" si="43"/>
        <v>121</v>
      </c>
      <c r="P301" s="19" t="str">
        <f t="shared" si="44"/>
        <v>UMUR HABIS</v>
      </c>
    </row>
    <row r="302" spans="1:16" ht="27" x14ac:dyDescent="0.35">
      <c r="A302" s="15">
        <v>7</v>
      </c>
      <c r="B302" s="16" t="s">
        <v>743</v>
      </c>
      <c r="C302" s="19">
        <f t="shared" si="40"/>
        <v>23</v>
      </c>
      <c r="D302" s="19">
        <f t="shared" si="41"/>
        <v>4</v>
      </c>
      <c r="E302" s="19">
        <f t="shared" si="42"/>
        <v>2022</v>
      </c>
      <c r="F302" s="17">
        <v>44674</v>
      </c>
      <c r="G302" s="72" t="s">
        <v>744</v>
      </c>
      <c r="H302" s="72" t="s">
        <v>745</v>
      </c>
      <c r="I302" s="19">
        <v>14782</v>
      </c>
      <c r="J302" s="18" t="s">
        <v>24</v>
      </c>
      <c r="K302" s="20" t="s">
        <v>728</v>
      </c>
      <c r="L302" s="105">
        <v>6510000</v>
      </c>
      <c r="M302" s="88">
        <v>46500</v>
      </c>
      <c r="N302" s="20">
        <v>60</v>
      </c>
      <c r="O302" s="19">
        <f t="shared" si="43"/>
        <v>51</v>
      </c>
      <c r="P302" s="19">
        <f t="shared" si="44"/>
        <v>9</v>
      </c>
    </row>
    <row r="303" spans="1:16" ht="16.5" customHeight="1" x14ac:dyDescent="0.35">
      <c r="A303" s="15"/>
      <c r="B303" s="16"/>
      <c r="C303" s="32"/>
      <c r="D303" s="32"/>
      <c r="E303" s="32"/>
      <c r="F303" s="17"/>
      <c r="G303" s="72"/>
      <c r="H303" s="72"/>
      <c r="I303" s="19"/>
      <c r="J303" s="18"/>
      <c r="K303" s="20"/>
      <c r="L303" s="105"/>
      <c r="M303" s="88"/>
      <c r="N303" s="93"/>
      <c r="O303" s="32"/>
      <c r="P303" s="32"/>
    </row>
    <row r="304" spans="1:16" x14ac:dyDescent="0.35">
      <c r="A304" s="115" t="s">
        <v>746</v>
      </c>
      <c r="B304" s="116"/>
      <c r="C304" s="116"/>
      <c r="D304" s="116"/>
      <c r="E304" s="116"/>
      <c r="F304" s="117"/>
      <c r="G304" s="73"/>
      <c r="H304" s="78"/>
      <c r="I304" s="23"/>
      <c r="J304" s="23"/>
      <c r="K304" s="24"/>
      <c r="L304" s="106">
        <f>SUM(L7:L303)</f>
        <v>3147085282.2399998</v>
      </c>
      <c r="M304" s="100"/>
      <c r="N304" s="89"/>
      <c r="O304" s="94"/>
      <c r="P304" s="94"/>
    </row>
    <row r="305" spans="1:16" x14ac:dyDescent="0.35">
      <c r="A305" s="25"/>
      <c r="B305" s="26"/>
      <c r="C305" s="98"/>
      <c r="D305" s="98"/>
      <c r="E305" s="98"/>
      <c r="F305" s="27"/>
      <c r="G305" s="72"/>
      <c r="H305" s="79"/>
      <c r="I305" s="29"/>
      <c r="J305" s="28"/>
      <c r="K305" s="20"/>
      <c r="L305" s="105"/>
      <c r="M305" s="88"/>
      <c r="N305" s="93"/>
      <c r="O305" s="32"/>
      <c r="P305" s="32"/>
    </row>
    <row r="306" spans="1:16" x14ac:dyDescent="0.35">
      <c r="A306" s="118" t="s">
        <v>747</v>
      </c>
      <c r="B306" s="119"/>
      <c r="C306" s="30"/>
      <c r="D306" s="30"/>
      <c r="E306" s="30"/>
      <c r="F306" s="11"/>
      <c r="G306" s="72"/>
      <c r="H306" s="80"/>
      <c r="I306" s="31"/>
      <c r="J306" s="31"/>
      <c r="K306" s="20"/>
      <c r="L306" s="105"/>
      <c r="M306" s="88"/>
      <c r="N306" s="93"/>
      <c r="O306" s="32"/>
      <c r="P306" s="32"/>
    </row>
    <row r="307" spans="1:16" ht="27" x14ac:dyDescent="0.35">
      <c r="A307" s="19">
        <v>1</v>
      </c>
      <c r="B307" s="32" t="s">
        <v>748</v>
      </c>
      <c r="C307" s="19">
        <f t="shared" ref="C307:C312" si="45">DAY(F307)</f>
        <v>18</v>
      </c>
      <c r="D307" s="19">
        <f t="shared" ref="D307:D312" si="46">MONTH(F307)</f>
        <v>12</v>
      </c>
      <c r="E307" s="19">
        <f t="shared" ref="E307:E312" si="47">YEAR(F307)</f>
        <v>2003</v>
      </c>
      <c r="F307" s="17">
        <v>37973</v>
      </c>
      <c r="G307" s="72"/>
      <c r="H307" s="81" t="s">
        <v>749</v>
      </c>
      <c r="I307" s="19">
        <v>14903</v>
      </c>
      <c r="J307" s="19" t="s">
        <v>24</v>
      </c>
      <c r="K307" s="20"/>
      <c r="L307" s="105">
        <v>82828600</v>
      </c>
      <c r="M307" s="88">
        <v>45278</v>
      </c>
      <c r="N307" s="20">
        <v>240</v>
      </c>
      <c r="O307" s="19">
        <f t="shared" ref="O307:O312" si="48">IF(F307="","",ROUND((($O$4-F307)*12/365),0))</f>
        <v>272</v>
      </c>
      <c r="P307" s="19" t="str">
        <f t="shared" ref="P307:P312" si="49">IF(F307="","",IF(O307&gt;=N307,"UMUR HABIS",N307-O307))</f>
        <v>UMUR HABIS</v>
      </c>
    </row>
    <row r="308" spans="1:16" ht="27" x14ac:dyDescent="0.35">
      <c r="A308" s="19">
        <v>2</v>
      </c>
      <c r="B308" s="32" t="s">
        <v>750</v>
      </c>
      <c r="C308" s="19">
        <f t="shared" si="45"/>
        <v>22</v>
      </c>
      <c r="D308" s="19">
        <f t="shared" si="46"/>
        <v>5</v>
      </c>
      <c r="E308" s="19">
        <f t="shared" si="47"/>
        <v>2006</v>
      </c>
      <c r="F308" s="17">
        <v>38859</v>
      </c>
      <c r="G308" s="72"/>
      <c r="H308" s="81" t="s">
        <v>749</v>
      </c>
      <c r="I308" s="19">
        <v>14904</v>
      </c>
      <c r="J308" s="19" t="s">
        <v>24</v>
      </c>
      <c r="K308" s="20"/>
      <c r="L308" s="105">
        <v>50791500</v>
      </c>
      <c r="M308" s="88">
        <v>45252</v>
      </c>
      <c r="N308" s="20">
        <v>210</v>
      </c>
      <c r="O308" s="19">
        <f t="shared" si="48"/>
        <v>242</v>
      </c>
      <c r="P308" s="19" t="str">
        <f t="shared" si="49"/>
        <v>UMUR HABIS</v>
      </c>
    </row>
    <row r="309" spans="1:16" ht="27" x14ac:dyDescent="0.35">
      <c r="A309" s="19">
        <v>3</v>
      </c>
      <c r="B309" s="32" t="s">
        <v>751</v>
      </c>
      <c r="C309" s="19">
        <f t="shared" si="45"/>
        <v>25</v>
      </c>
      <c r="D309" s="19">
        <f t="shared" si="46"/>
        <v>11</v>
      </c>
      <c r="E309" s="19">
        <f t="shared" si="47"/>
        <v>2009</v>
      </c>
      <c r="F309" s="17">
        <v>40142</v>
      </c>
      <c r="G309" s="72"/>
      <c r="H309" s="81" t="s">
        <v>749</v>
      </c>
      <c r="I309" s="19">
        <v>14905</v>
      </c>
      <c r="J309" s="19" t="s">
        <v>24</v>
      </c>
      <c r="K309" s="20"/>
      <c r="L309" s="105">
        <v>48695000</v>
      </c>
      <c r="M309" s="88">
        <v>45285</v>
      </c>
      <c r="N309" s="20">
        <v>169</v>
      </c>
      <c r="O309" s="19">
        <f t="shared" si="48"/>
        <v>200</v>
      </c>
      <c r="P309" s="19" t="str">
        <f t="shared" si="49"/>
        <v>UMUR HABIS</v>
      </c>
    </row>
    <row r="310" spans="1:16" ht="27" x14ac:dyDescent="0.35">
      <c r="A310" s="19">
        <v>4</v>
      </c>
      <c r="B310" s="32" t="s">
        <v>750</v>
      </c>
      <c r="C310" s="19">
        <f t="shared" si="45"/>
        <v>31</v>
      </c>
      <c r="D310" s="19">
        <f t="shared" si="46"/>
        <v>12</v>
      </c>
      <c r="E310" s="19">
        <f t="shared" si="47"/>
        <v>2016</v>
      </c>
      <c r="F310" s="17">
        <v>42735</v>
      </c>
      <c r="G310" s="72"/>
      <c r="H310" s="81" t="s">
        <v>749</v>
      </c>
      <c r="I310" s="19">
        <v>14906</v>
      </c>
      <c r="J310" s="19" t="s">
        <v>24</v>
      </c>
      <c r="K310" s="20"/>
      <c r="L310" s="105">
        <v>99551896</v>
      </c>
      <c r="M310" s="88">
        <v>45291</v>
      </c>
      <c r="N310" s="20">
        <v>84</v>
      </c>
      <c r="O310" s="19">
        <f t="shared" si="48"/>
        <v>115</v>
      </c>
      <c r="P310" s="19" t="str">
        <f t="shared" si="49"/>
        <v>UMUR HABIS</v>
      </c>
    </row>
    <row r="311" spans="1:16" ht="27" x14ac:dyDescent="0.35">
      <c r="A311" s="19">
        <v>5</v>
      </c>
      <c r="B311" s="32" t="s">
        <v>750</v>
      </c>
      <c r="C311" s="19">
        <f t="shared" si="45"/>
        <v>31</v>
      </c>
      <c r="D311" s="19">
        <f t="shared" si="46"/>
        <v>8</v>
      </c>
      <c r="E311" s="19">
        <f t="shared" si="47"/>
        <v>2019</v>
      </c>
      <c r="F311" s="17">
        <v>43708</v>
      </c>
      <c r="G311" s="72"/>
      <c r="H311" s="81" t="s">
        <v>749</v>
      </c>
      <c r="I311" s="19">
        <v>14907</v>
      </c>
      <c r="J311" s="19" t="s">
        <v>24</v>
      </c>
      <c r="K311" s="20"/>
      <c r="L311" s="105">
        <v>178400000</v>
      </c>
      <c r="M311" s="88">
        <v>51013</v>
      </c>
      <c r="N311" s="20">
        <v>240</v>
      </c>
      <c r="O311" s="19">
        <f t="shared" si="48"/>
        <v>83</v>
      </c>
      <c r="P311" s="19">
        <f t="shared" si="49"/>
        <v>157</v>
      </c>
    </row>
    <row r="312" spans="1:16" ht="27" x14ac:dyDescent="0.35">
      <c r="A312" s="19">
        <v>6</v>
      </c>
      <c r="B312" s="33" t="s">
        <v>750</v>
      </c>
      <c r="C312" s="19">
        <f t="shared" si="45"/>
        <v>23</v>
      </c>
      <c r="D312" s="19">
        <f t="shared" si="46"/>
        <v>7</v>
      </c>
      <c r="E312" s="19">
        <f t="shared" si="47"/>
        <v>2024</v>
      </c>
      <c r="F312" s="34">
        <v>45496</v>
      </c>
      <c r="G312" s="72"/>
      <c r="H312" s="82" t="s">
        <v>752</v>
      </c>
      <c r="I312" s="35">
        <v>14908</v>
      </c>
      <c r="J312" s="35" t="s">
        <v>24</v>
      </c>
      <c r="K312" s="20"/>
      <c r="L312" s="105">
        <v>435120000</v>
      </c>
      <c r="M312" s="88">
        <v>52801</v>
      </c>
      <c r="N312" s="20">
        <v>240</v>
      </c>
      <c r="O312" s="19">
        <f t="shared" si="48"/>
        <v>24</v>
      </c>
      <c r="P312" s="19">
        <f t="shared" si="49"/>
        <v>216</v>
      </c>
    </row>
    <row r="313" spans="1:16" x14ac:dyDescent="0.35">
      <c r="A313" s="36" t="s">
        <v>753</v>
      </c>
      <c r="B313" s="37"/>
      <c r="C313" s="99"/>
      <c r="D313" s="99"/>
      <c r="E313" s="99"/>
      <c r="F313" s="38"/>
      <c r="G313" s="73"/>
      <c r="H313" s="83"/>
      <c r="I313" s="40"/>
      <c r="J313" s="39"/>
      <c r="K313" s="24"/>
      <c r="L313" s="106">
        <f>SUM(L307:L312)</f>
        <v>895386996</v>
      </c>
      <c r="M313" s="100"/>
      <c r="N313" s="89"/>
      <c r="O313" s="94"/>
      <c r="P313" s="94"/>
    </row>
    <row r="314" spans="1:16" x14ac:dyDescent="0.35">
      <c r="A314" s="15"/>
      <c r="B314" s="16"/>
      <c r="C314" s="32"/>
      <c r="D314" s="32"/>
      <c r="E314" s="32"/>
      <c r="F314" s="17"/>
      <c r="G314" s="72"/>
      <c r="H314" s="72"/>
      <c r="I314" s="19"/>
      <c r="J314" s="18"/>
      <c r="K314" s="20"/>
      <c r="L314" s="105"/>
      <c r="M314" s="88"/>
      <c r="N314" s="93"/>
      <c r="O314" s="32"/>
      <c r="P314" s="32"/>
    </row>
    <row r="315" spans="1:16" x14ac:dyDescent="0.35">
      <c r="A315" s="113" t="s">
        <v>754</v>
      </c>
      <c r="B315" s="114"/>
      <c r="C315" s="41"/>
      <c r="D315" s="41"/>
      <c r="E315" s="41"/>
      <c r="F315" s="17"/>
      <c r="G315" s="72"/>
      <c r="H315" s="72"/>
      <c r="I315" s="19"/>
      <c r="J315" s="18"/>
      <c r="K315" s="20"/>
      <c r="L315" s="105"/>
      <c r="M315" s="88"/>
      <c r="N315" s="93"/>
      <c r="O315" s="32"/>
      <c r="P315" s="32"/>
    </row>
    <row r="316" spans="1:16" ht="27" x14ac:dyDescent="0.35">
      <c r="A316" s="19">
        <v>1</v>
      </c>
      <c r="B316" s="42" t="s">
        <v>755</v>
      </c>
      <c r="C316" s="19">
        <f t="shared" ref="C316:C319" si="50">DAY(F316)</f>
        <v>28</v>
      </c>
      <c r="D316" s="19">
        <f t="shared" ref="D316:D319" si="51">MONTH(F316)</f>
        <v>12</v>
      </c>
      <c r="E316" s="19">
        <f t="shared" ref="E316:E319" si="52">YEAR(F316)</f>
        <v>2015</v>
      </c>
      <c r="F316" s="17">
        <v>42366</v>
      </c>
      <c r="G316" s="72"/>
      <c r="H316" s="72" t="s">
        <v>756</v>
      </c>
      <c r="I316" s="19">
        <v>15069</v>
      </c>
      <c r="J316" s="18" t="s">
        <v>24</v>
      </c>
      <c r="K316" s="20"/>
      <c r="L316" s="105">
        <v>283400000</v>
      </c>
      <c r="M316" s="88">
        <v>44193</v>
      </c>
      <c r="N316" s="20">
        <v>60</v>
      </c>
      <c r="O316" s="19">
        <f>IF(F316="","",ROUND((($O$4-F316)*12/365),0))</f>
        <v>127</v>
      </c>
      <c r="P316" s="19" t="str">
        <f>IF(F316="","",IF(O316&gt;=N316,"UMUR HABIS",N316-O316))</f>
        <v>UMUR HABIS</v>
      </c>
    </row>
    <row r="317" spans="1:16" ht="27" x14ac:dyDescent="0.35">
      <c r="A317" s="19">
        <v>2</v>
      </c>
      <c r="B317" s="42" t="s">
        <v>757</v>
      </c>
      <c r="C317" s="19">
        <f t="shared" si="50"/>
        <v>31</v>
      </c>
      <c r="D317" s="19">
        <f t="shared" si="51"/>
        <v>12</v>
      </c>
      <c r="E317" s="19">
        <f t="shared" si="52"/>
        <v>2015</v>
      </c>
      <c r="F317" s="17">
        <v>42369</v>
      </c>
      <c r="G317" s="72"/>
      <c r="H317" s="72" t="s">
        <v>758</v>
      </c>
      <c r="I317" s="19">
        <v>15070</v>
      </c>
      <c r="J317" s="18" t="s">
        <v>24</v>
      </c>
      <c r="K317" s="20"/>
      <c r="L317" s="105">
        <v>18120000</v>
      </c>
      <c r="M317" s="88">
        <v>44196</v>
      </c>
      <c r="N317" s="20">
        <v>60</v>
      </c>
      <c r="O317" s="19">
        <f>IF(F317="","",ROUND((($O$4-F317)*12/365),0))</f>
        <v>127</v>
      </c>
      <c r="P317" s="19" t="str">
        <f>IF(F317="","",IF(O317&gt;=N317,"UMUR HABIS",N317-O317))</f>
        <v>UMUR HABIS</v>
      </c>
    </row>
    <row r="318" spans="1:16" ht="27" x14ac:dyDescent="0.35">
      <c r="A318" s="19">
        <v>3</v>
      </c>
      <c r="B318" s="42" t="s">
        <v>759</v>
      </c>
      <c r="C318" s="19">
        <f t="shared" si="50"/>
        <v>14</v>
      </c>
      <c r="D318" s="19">
        <f t="shared" si="51"/>
        <v>12</v>
      </c>
      <c r="E318" s="19">
        <f t="shared" si="52"/>
        <v>2016</v>
      </c>
      <c r="F318" s="17">
        <v>42718</v>
      </c>
      <c r="G318" s="72"/>
      <c r="H318" s="72" t="s">
        <v>760</v>
      </c>
      <c r="I318" s="19">
        <v>15071</v>
      </c>
      <c r="J318" s="18" t="s">
        <v>24</v>
      </c>
      <c r="K318" s="20"/>
      <c r="L318" s="105">
        <v>18990000</v>
      </c>
      <c r="M318" s="88">
        <v>44544</v>
      </c>
      <c r="N318" s="20">
        <v>60</v>
      </c>
      <c r="O318" s="19">
        <f>IF(F318="","",ROUND((($O$4-F318)*12/365),0))</f>
        <v>116</v>
      </c>
      <c r="P318" s="19" t="str">
        <f>IF(F318="","",IF(O318&gt;=N318,"UMUR HABIS",N318-O318))</f>
        <v>UMUR HABIS</v>
      </c>
    </row>
    <row r="319" spans="1:16" ht="27" x14ac:dyDescent="0.35">
      <c r="A319" s="19">
        <v>4</v>
      </c>
      <c r="B319" s="42" t="s">
        <v>761</v>
      </c>
      <c r="C319" s="19">
        <f t="shared" si="50"/>
        <v>31</v>
      </c>
      <c r="D319" s="19">
        <f t="shared" si="51"/>
        <v>7</v>
      </c>
      <c r="E319" s="19">
        <f t="shared" si="52"/>
        <v>2017</v>
      </c>
      <c r="F319" s="17">
        <v>42947</v>
      </c>
      <c r="G319" s="72"/>
      <c r="H319" s="72" t="s">
        <v>762</v>
      </c>
      <c r="I319" s="19">
        <v>15072</v>
      </c>
      <c r="J319" s="18" t="s">
        <v>24</v>
      </c>
      <c r="K319" s="20"/>
      <c r="L319" s="105">
        <v>301383000</v>
      </c>
      <c r="M319" s="88">
        <v>44773</v>
      </c>
      <c r="N319" s="20">
        <v>60</v>
      </c>
      <c r="O319" s="19">
        <f>IF(F319="","",ROUND((($O$4-F319)*12/365),0))</f>
        <v>108</v>
      </c>
      <c r="P319" s="19" t="str">
        <f>IF(F319="","",IF(O319&gt;=N319,"UMUR HABIS",N319-O319))</f>
        <v>UMUR HABIS</v>
      </c>
    </row>
    <row r="320" spans="1:16" x14ac:dyDescent="0.35">
      <c r="A320" s="120" t="s">
        <v>763</v>
      </c>
      <c r="B320" s="121"/>
      <c r="C320" s="43"/>
      <c r="D320" s="43"/>
      <c r="E320" s="43"/>
      <c r="F320" s="44"/>
      <c r="G320" s="73"/>
      <c r="H320" s="73"/>
      <c r="I320" s="45"/>
      <c r="J320" s="22"/>
      <c r="K320" s="24"/>
      <c r="L320" s="106">
        <f>SUM(L316:L319)</f>
        <v>621893000</v>
      </c>
      <c r="M320" s="100"/>
      <c r="N320" s="89"/>
      <c r="O320" s="94"/>
      <c r="P320" s="94"/>
    </row>
    <row r="321" spans="1:16" x14ac:dyDescent="0.35">
      <c r="A321" s="46"/>
      <c r="B321" s="46"/>
      <c r="C321" s="46"/>
      <c r="D321" s="46"/>
      <c r="E321" s="46"/>
      <c r="F321" s="47"/>
      <c r="G321" s="72"/>
      <c r="H321" s="84"/>
      <c r="I321" s="49"/>
      <c r="J321" s="48"/>
      <c r="K321" s="20"/>
      <c r="L321" s="105"/>
      <c r="M321" s="88"/>
      <c r="N321" s="93"/>
      <c r="O321" s="32"/>
      <c r="P321" s="32"/>
    </row>
    <row r="322" spans="1:16" x14ac:dyDescent="0.35">
      <c r="A322" s="46" t="s">
        <v>764</v>
      </c>
      <c r="B322" s="46"/>
      <c r="C322" s="46"/>
      <c r="D322" s="46"/>
      <c r="E322" s="46"/>
      <c r="F322" s="47"/>
      <c r="G322" s="72"/>
      <c r="H322" s="84"/>
      <c r="I322" s="49"/>
      <c r="J322" s="48"/>
      <c r="K322" s="20"/>
      <c r="L322" s="105"/>
      <c r="M322" s="88"/>
      <c r="N322" s="93"/>
      <c r="O322" s="32"/>
      <c r="P322" s="32"/>
    </row>
    <row r="323" spans="1:16" ht="27" x14ac:dyDescent="0.35">
      <c r="A323" s="50">
        <v>1</v>
      </c>
      <c r="B323" s="51" t="s">
        <v>765</v>
      </c>
      <c r="C323" s="19">
        <f t="shared" ref="C323:C324" si="53">DAY(F323)</f>
        <v>18</v>
      </c>
      <c r="D323" s="19">
        <f t="shared" ref="D323:D324" si="54">MONTH(F323)</f>
        <v>12</v>
      </c>
      <c r="E323" s="19">
        <f t="shared" ref="E323:E324" si="55">YEAR(F323)</f>
        <v>2003</v>
      </c>
      <c r="F323" s="47">
        <v>37973</v>
      </c>
      <c r="G323" s="72"/>
      <c r="H323" s="85" t="s">
        <v>766</v>
      </c>
      <c r="I323" s="52">
        <v>14717</v>
      </c>
      <c r="J323" s="53" t="s">
        <v>24</v>
      </c>
      <c r="K323" s="20"/>
      <c r="L323" s="105">
        <v>200333400</v>
      </c>
      <c r="M323" s="88">
        <v>48931</v>
      </c>
      <c r="N323" s="20">
        <v>360</v>
      </c>
      <c r="O323" s="19">
        <v>0</v>
      </c>
      <c r="P323" s="19">
        <v>0</v>
      </c>
    </row>
    <row r="324" spans="1:16" ht="27" x14ac:dyDescent="0.35">
      <c r="A324" s="50">
        <v>2</v>
      </c>
      <c r="B324" s="51" t="s">
        <v>767</v>
      </c>
      <c r="C324" s="19">
        <f t="shared" si="53"/>
        <v>1</v>
      </c>
      <c r="D324" s="19">
        <f t="shared" si="54"/>
        <v>1</v>
      </c>
      <c r="E324" s="19">
        <f t="shared" si="55"/>
        <v>1997</v>
      </c>
      <c r="F324" s="47">
        <v>35431</v>
      </c>
      <c r="G324" s="72"/>
      <c r="H324" s="85" t="s">
        <v>768</v>
      </c>
      <c r="I324" s="52">
        <v>14909</v>
      </c>
      <c r="J324" s="53" t="s">
        <v>24</v>
      </c>
      <c r="K324" s="20"/>
      <c r="L324" s="105">
        <v>824950000</v>
      </c>
      <c r="M324" s="88">
        <v>46388</v>
      </c>
      <c r="N324" s="20">
        <v>360</v>
      </c>
      <c r="O324" s="19">
        <v>0</v>
      </c>
      <c r="P324" s="19">
        <v>0</v>
      </c>
    </row>
    <row r="325" spans="1:16" x14ac:dyDescent="0.35">
      <c r="A325" s="115" t="s">
        <v>769</v>
      </c>
      <c r="B325" s="117"/>
      <c r="C325" s="54"/>
      <c r="D325" s="54"/>
      <c r="E325" s="54"/>
      <c r="F325" s="55"/>
      <c r="G325" s="73"/>
      <c r="H325" s="86"/>
      <c r="I325" s="57"/>
      <c r="J325" s="56"/>
      <c r="K325" s="24"/>
      <c r="L325" s="106">
        <f>SUM(L323:L324)</f>
        <v>1025283400</v>
      </c>
      <c r="M325" s="100"/>
      <c r="N325" s="89"/>
      <c r="O325" s="94"/>
      <c r="P325" s="94"/>
    </row>
    <row r="326" spans="1:16" x14ac:dyDescent="0.35">
      <c r="B326" s="46"/>
      <c r="C326" s="46"/>
      <c r="D326" s="46"/>
      <c r="E326" s="46"/>
      <c r="F326" s="47"/>
      <c r="G326" s="72"/>
      <c r="H326" s="84"/>
      <c r="I326" s="49"/>
      <c r="J326" s="48"/>
      <c r="K326" s="20"/>
      <c r="L326" s="105"/>
      <c r="M326" s="88"/>
      <c r="N326" s="93"/>
      <c r="O326" s="32"/>
      <c r="P326" s="32"/>
    </row>
    <row r="327" spans="1:16" x14ac:dyDescent="0.35">
      <c r="A327" s="46" t="s">
        <v>770</v>
      </c>
      <c r="B327" s="46"/>
      <c r="C327" s="46"/>
      <c r="D327" s="46"/>
      <c r="E327" s="46"/>
      <c r="F327" s="47"/>
      <c r="G327" s="72"/>
      <c r="H327" s="84"/>
      <c r="I327" s="49"/>
      <c r="J327" s="48"/>
      <c r="K327" s="20"/>
      <c r="L327" s="105"/>
      <c r="M327" s="88"/>
      <c r="N327" s="93"/>
      <c r="O327" s="32"/>
      <c r="P327" s="32"/>
    </row>
    <row r="328" spans="1:16" ht="27" x14ac:dyDescent="0.35">
      <c r="A328" s="15">
        <v>1</v>
      </c>
      <c r="B328" s="16" t="s">
        <v>771</v>
      </c>
      <c r="C328" s="19">
        <f t="shared" ref="C328:C338" si="56">DAY(F328)</f>
        <v>1</v>
      </c>
      <c r="D328" s="19">
        <f t="shared" ref="D328:D338" si="57">MONTH(F328)</f>
        <v>1</v>
      </c>
      <c r="E328" s="19">
        <f t="shared" ref="E328:E338" si="58">YEAR(F328)</f>
        <v>1997</v>
      </c>
      <c r="F328" s="17">
        <v>35431</v>
      </c>
      <c r="G328" s="72"/>
      <c r="H328" s="87" t="s">
        <v>772</v>
      </c>
      <c r="I328" s="19">
        <v>15073</v>
      </c>
      <c r="J328" s="58" t="s">
        <v>24</v>
      </c>
      <c r="K328" s="20"/>
      <c r="L328" s="105">
        <v>2093899233.3299999</v>
      </c>
      <c r="M328" s="88">
        <v>46388</v>
      </c>
      <c r="N328" s="20">
        <v>360</v>
      </c>
      <c r="O328" s="19">
        <f t="shared" ref="O328:O338" si="59">IF(F328="","",ROUND((($O$4-F328)*12/365),0))</f>
        <v>355</v>
      </c>
      <c r="P328" s="19">
        <f t="shared" ref="P328:P338" si="60">IF(F328="","",IF(O328&gt;=N328,"UMUR HABIS",N328-O328))</f>
        <v>5</v>
      </c>
    </row>
    <row r="329" spans="1:16" ht="27" x14ac:dyDescent="0.35">
      <c r="A329" s="15">
        <v>2</v>
      </c>
      <c r="B329" s="59" t="s">
        <v>773</v>
      </c>
      <c r="C329" s="19">
        <f t="shared" si="56"/>
        <v>28</v>
      </c>
      <c r="D329" s="19">
        <f t="shared" si="57"/>
        <v>11</v>
      </c>
      <c r="E329" s="19">
        <f t="shared" si="58"/>
        <v>2008</v>
      </c>
      <c r="F329" s="17">
        <v>39780</v>
      </c>
      <c r="G329" s="72"/>
      <c r="H329" s="87" t="s">
        <v>772</v>
      </c>
      <c r="I329" s="19">
        <v>15074</v>
      </c>
      <c r="J329" s="58" t="s">
        <v>24</v>
      </c>
      <c r="K329" s="20"/>
      <c r="L329" s="105">
        <v>44507000</v>
      </c>
      <c r="M329" s="88">
        <v>50737</v>
      </c>
      <c r="N329" s="20">
        <v>360</v>
      </c>
      <c r="O329" s="19">
        <f t="shared" si="59"/>
        <v>212</v>
      </c>
      <c r="P329" s="19">
        <f t="shared" si="60"/>
        <v>148</v>
      </c>
    </row>
    <row r="330" spans="1:16" ht="27" x14ac:dyDescent="0.35">
      <c r="A330" s="15">
        <v>3</v>
      </c>
      <c r="B330" s="59" t="s">
        <v>774</v>
      </c>
      <c r="C330" s="19">
        <f t="shared" si="56"/>
        <v>30</v>
      </c>
      <c r="D330" s="19">
        <f t="shared" si="57"/>
        <v>12</v>
      </c>
      <c r="E330" s="19">
        <f t="shared" si="58"/>
        <v>2010</v>
      </c>
      <c r="F330" s="17">
        <v>40542</v>
      </c>
      <c r="G330" s="72"/>
      <c r="H330" s="87" t="s">
        <v>772</v>
      </c>
      <c r="I330" s="19">
        <v>15075</v>
      </c>
      <c r="J330" s="58" t="s">
        <v>24</v>
      </c>
      <c r="K330" s="20"/>
      <c r="L330" s="105">
        <v>144250000</v>
      </c>
      <c r="M330" s="88">
        <v>51500</v>
      </c>
      <c r="N330" s="20">
        <v>360</v>
      </c>
      <c r="O330" s="19">
        <f t="shared" si="59"/>
        <v>187</v>
      </c>
      <c r="P330" s="19">
        <f t="shared" si="60"/>
        <v>173</v>
      </c>
    </row>
    <row r="331" spans="1:16" ht="27" x14ac:dyDescent="0.35">
      <c r="A331" s="15">
        <v>4</v>
      </c>
      <c r="B331" s="59" t="s">
        <v>775</v>
      </c>
      <c r="C331" s="19">
        <f t="shared" si="56"/>
        <v>31</v>
      </c>
      <c r="D331" s="19">
        <f t="shared" si="57"/>
        <v>12</v>
      </c>
      <c r="E331" s="19">
        <f t="shared" si="58"/>
        <v>2013</v>
      </c>
      <c r="F331" s="17">
        <v>41639</v>
      </c>
      <c r="G331" s="72"/>
      <c r="H331" s="87" t="s">
        <v>772</v>
      </c>
      <c r="I331" s="19">
        <v>15076</v>
      </c>
      <c r="J331" s="58" t="s">
        <v>24</v>
      </c>
      <c r="K331" s="20"/>
      <c r="L331" s="105">
        <v>313112900</v>
      </c>
      <c r="M331" s="88">
        <v>52596</v>
      </c>
      <c r="N331" s="20">
        <v>360</v>
      </c>
      <c r="O331" s="19">
        <f t="shared" si="59"/>
        <v>151</v>
      </c>
      <c r="P331" s="19">
        <f t="shared" si="60"/>
        <v>209</v>
      </c>
    </row>
    <row r="332" spans="1:16" ht="27" x14ac:dyDescent="0.35">
      <c r="A332" s="15">
        <v>5</v>
      </c>
      <c r="B332" s="59" t="s">
        <v>776</v>
      </c>
      <c r="C332" s="19">
        <f t="shared" si="56"/>
        <v>30</v>
      </c>
      <c r="D332" s="19">
        <f t="shared" si="57"/>
        <v>11</v>
      </c>
      <c r="E332" s="19">
        <f t="shared" si="58"/>
        <v>2014</v>
      </c>
      <c r="F332" s="17">
        <v>41973</v>
      </c>
      <c r="G332" s="72"/>
      <c r="H332" s="87" t="s">
        <v>772</v>
      </c>
      <c r="I332" s="19">
        <v>15077</v>
      </c>
      <c r="J332" s="58" t="s">
        <v>24</v>
      </c>
      <c r="K332" s="20"/>
      <c r="L332" s="105">
        <v>1230577714</v>
      </c>
      <c r="M332" s="88">
        <v>52931</v>
      </c>
      <c r="N332" s="20">
        <v>360</v>
      </c>
      <c r="O332" s="19">
        <f t="shared" si="59"/>
        <v>140</v>
      </c>
      <c r="P332" s="19">
        <f t="shared" si="60"/>
        <v>220</v>
      </c>
    </row>
    <row r="333" spans="1:16" ht="27" x14ac:dyDescent="0.35">
      <c r="A333" s="15">
        <v>6</v>
      </c>
      <c r="B333" s="59" t="s">
        <v>777</v>
      </c>
      <c r="C333" s="19">
        <f t="shared" si="56"/>
        <v>30</v>
      </c>
      <c r="D333" s="19">
        <f t="shared" si="57"/>
        <v>4</v>
      </c>
      <c r="E333" s="19">
        <f t="shared" si="58"/>
        <v>2018</v>
      </c>
      <c r="F333" s="17">
        <v>43220</v>
      </c>
      <c r="G333" s="72"/>
      <c r="H333" s="87" t="s">
        <v>772</v>
      </c>
      <c r="I333" s="19">
        <v>15078</v>
      </c>
      <c r="J333" s="58" t="s">
        <v>24</v>
      </c>
      <c r="K333" s="20"/>
      <c r="L333" s="105">
        <v>478087500</v>
      </c>
      <c r="M333" s="88">
        <v>54178</v>
      </c>
      <c r="N333" s="20">
        <v>360</v>
      </c>
      <c r="O333" s="19">
        <f t="shared" si="59"/>
        <v>99</v>
      </c>
      <c r="P333" s="19">
        <f t="shared" si="60"/>
        <v>261</v>
      </c>
    </row>
    <row r="334" spans="1:16" ht="27" x14ac:dyDescent="0.35">
      <c r="A334" s="15">
        <v>7</v>
      </c>
      <c r="B334" s="59" t="s">
        <v>778</v>
      </c>
      <c r="C334" s="19">
        <f t="shared" si="56"/>
        <v>30</v>
      </c>
      <c r="D334" s="19">
        <f t="shared" si="57"/>
        <v>11</v>
      </c>
      <c r="E334" s="19">
        <f t="shared" si="58"/>
        <v>2018</v>
      </c>
      <c r="F334" s="17">
        <v>43434</v>
      </c>
      <c r="G334" s="72"/>
      <c r="H334" s="87" t="s">
        <v>779</v>
      </c>
      <c r="I334" s="19">
        <v>15079</v>
      </c>
      <c r="J334" s="58" t="s">
        <v>24</v>
      </c>
      <c r="K334" s="20"/>
      <c r="L334" s="105">
        <v>1464838000</v>
      </c>
      <c r="M334" s="88">
        <v>54178</v>
      </c>
      <c r="N334" s="20">
        <v>353</v>
      </c>
      <c r="O334" s="19">
        <f t="shared" si="59"/>
        <v>92</v>
      </c>
      <c r="P334" s="19">
        <f t="shared" si="60"/>
        <v>261</v>
      </c>
    </row>
    <row r="335" spans="1:16" ht="27" x14ac:dyDescent="0.35">
      <c r="A335" s="15">
        <v>8</v>
      </c>
      <c r="B335" s="59" t="s">
        <v>780</v>
      </c>
      <c r="C335" s="19">
        <f t="shared" si="56"/>
        <v>31</v>
      </c>
      <c r="D335" s="19">
        <f t="shared" si="57"/>
        <v>12</v>
      </c>
      <c r="E335" s="19">
        <f t="shared" si="58"/>
        <v>2019</v>
      </c>
      <c r="F335" s="17">
        <v>43830</v>
      </c>
      <c r="G335" s="72"/>
      <c r="H335" s="87" t="s">
        <v>781</v>
      </c>
      <c r="I335" s="19">
        <v>15080</v>
      </c>
      <c r="J335" s="58" t="s">
        <v>24</v>
      </c>
      <c r="K335" s="20"/>
      <c r="L335" s="105">
        <v>455410000</v>
      </c>
      <c r="M335" s="88">
        <v>54178</v>
      </c>
      <c r="N335" s="20">
        <v>340</v>
      </c>
      <c r="O335" s="19">
        <f t="shared" si="59"/>
        <v>79</v>
      </c>
      <c r="P335" s="19">
        <f t="shared" si="60"/>
        <v>261</v>
      </c>
    </row>
    <row r="336" spans="1:16" ht="27" x14ac:dyDescent="0.35">
      <c r="A336" s="15">
        <v>9</v>
      </c>
      <c r="B336" s="59" t="s">
        <v>782</v>
      </c>
      <c r="C336" s="19">
        <f t="shared" si="56"/>
        <v>31</v>
      </c>
      <c r="D336" s="19">
        <f t="shared" si="57"/>
        <v>1</v>
      </c>
      <c r="E336" s="19">
        <f t="shared" si="58"/>
        <v>2020</v>
      </c>
      <c r="F336" s="17">
        <v>43861</v>
      </c>
      <c r="G336" s="72"/>
      <c r="H336" s="87" t="s">
        <v>783</v>
      </c>
      <c r="I336" s="19">
        <v>15081</v>
      </c>
      <c r="J336" s="58" t="s">
        <v>24</v>
      </c>
      <c r="K336" s="20"/>
      <c r="L336" s="105">
        <v>366742750</v>
      </c>
      <c r="M336" s="88">
        <v>54178</v>
      </c>
      <c r="N336" s="20">
        <v>339</v>
      </c>
      <c r="O336" s="19">
        <f t="shared" si="59"/>
        <v>78</v>
      </c>
      <c r="P336" s="19">
        <f t="shared" si="60"/>
        <v>261</v>
      </c>
    </row>
    <row r="337" spans="1:16" ht="27" x14ac:dyDescent="0.35">
      <c r="A337" s="15">
        <v>10</v>
      </c>
      <c r="B337" s="59" t="s">
        <v>782</v>
      </c>
      <c r="C337" s="19">
        <f t="shared" si="56"/>
        <v>23</v>
      </c>
      <c r="D337" s="19">
        <f t="shared" si="57"/>
        <v>2</v>
      </c>
      <c r="E337" s="19">
        <f t="shared" si="58"/>
        <v>2020</v>
      </c>
      <c r="F337" s="17">
        <v>43884</v>
      </c>
      <c r="G337" s="72"/>
      <c r="H337" s="87" t="s">
        <v>784</v>
      </c>
      <c r="I337" s="19">
        <v>15082</v>
      </c>
      <c r="J337" s="58" t="s">
        <v>24</v>
      </c>
      <c r="K337" s="20"/>
      <c r="L337" s="105">
        <v>148925000</v>
      </c>
      <c r="M337" s="88">
        <v>54171</v>
      </c>
      <c r="N337" s="20">
        <v>338</v>
      </c>
      <c r="O337" s="19">
        <f t="shared" si="59"/>
        <v>77</v>
      </c>
      <c r="P337" s="19">
        <f t="shared" si="60"/>
        <v>261</v>
      </c>
    </row>
    <row r="338" spans="1:16" ht="27" x14ac:dyDescent="0.35">
      <c r="A338" s="15">
        <v>11</v>
      </c>
      <c r="B338" s="59" t="s">
        <v>782</v>
      </c>
      <c r="C338" s="19">
        <f t="shared" si="56"/>
        <v>29</v>
      </c>
      <c r="D338" s="19">
        <f t="shared" si="57"/>
        <v>2</v>
      </c>
      <c r="E338" s="19">
        <f t="shared" si="58"/>
        <v>2020</v>
      </c>
      <c r="F338" s="17">
        <v>43890</v>
      </c>
      <c r="G338" s="72"/>
      <c r="H338" s="87" t="s">
        <v>785</v>
      </c>
      <c r="I338" s="19">
        <v>15083</v>
      </c>
      <c r="J338" s="58" t="s">
        <v>24</v>
      </c>
      <c r="K338" s="20"/>
      <c r="L338" s="105">
        <v>17377250</v>
      </c>
      <c r="M338" s="88">
        <v>54178</v>
      </c>
      <c r="N338" s="20">
        <v>338</v>
      </c>
      <c r="O338" s="19">
        <f t="shared" si="59"/>
        <v>77</v>
      </c>
      <c r="P338" s="19">
        <f t="shared" si="60"/>
        <v>261</v>
      </c>
    </row>
    <row r="339" spans="1:16" x14ac:dyDescent="0.35">
      <c r="A339" s="111" t="s">
        <v>786</v>
      </c>
      <c r="B339" s="112"/>
      <c r="C339" s="60"/>
      <c r="D339" s="60"/>
      <c r="E339" s="60"/>
      <c r="F339" s="61"/>
      <c r="G339" s="74"/>
      <c r="H339" s="74"/>
      <c r="I339" s="63"/>
      <c r="J339" s="62"/>
      <c r="K339" s="63"/>
      <c r="L339" s="107">
        <f>SUM(L328:L338)</f>
        <v>6757727347.3299999</v>
      </c>
      <c r="M339" s="101"/>
      <c r="N339" s="90"/>
      <c r="O339" s="95"/>
      <c r="P339" s="95"/>
    </row>
    <row r="340" spans="1:16" x14ac:dyDescent="0.35">
      <c r="A340" s="8"/>
      <c r="B340" s="8"/>
      <c r="C340" s="32"/>
      <c r="D340" s="32"/>
      <c r="E340" s="32"/>
      <c r="F340" s="64"/>
      <c r="G340" s="75"/>
      <c r="H340" s="75"/>
      <c r="I340" s="8"/>
      <c r="J340" s="8"/>
      <c r="K340" s="8"/>
      <c r="L340" s="108"/>
      <c r="M340" s="17"/>
      <c r="N340" s="32"/>
      <c r="O340" s="32"/>
      <c r="P340" s="32"/>
    </row>
    <row r="341" spans="1:16" x14ac:dyDescent="0.35">
      <c r="A341" s="8"/>
      <c r="B341" s="8"/>
      <c r="C341" s="32"/>
      <c r="D341" s="32"/>
      <c r="E341" s="32"/>
      <c r="F341" s="64"/>
      <c r="G341" s="75"/>
      <c r="H341" s="75"/>
      <c r="I341" s="8"/>
      <c r="J341" s="8"/>
      <c r="K341" s="8"/>
      <c r="L341" s="108"/>
      <c r="M341" s="17"/>
      <c r="N341" s="32"/>
      <c r="O341" s="32"/>
      <c r="P341" s="32"/>
    </row>
    <row r="342" spans="1:16" x14ac:dyDescent="0.35">
      <c r="A342" s="65" t="s">
        <v>787</v>
      </c>
      <c r="B342" s="66"/>
      <c r="C342" s="96"/>
      <c r="D342" s="96"/>
      <c r="E342" s="96"/>
      <c r="F342" s="67"/>
      <c r="G342" s="76"/>
      <c r="H342" s="76"/>
      <c r="I342" s="66"/>
      <c r="J342" s="66"/>
      <c r="K342" s="66"/>
      <c r="L342" s="109">
        <f>L339+L325+L320+L313+L304</f>
        <v>12447376025.57</v>
      </c>
      <c r="M342" s="91"/>
      <c r="N342" s="96"/>
      <c r="O342" s="96"/>
      <c r="P342" s="96"/>
    </row>
  </sheetData>
  <mergeCells count="24">
    <mergeCell ref="A2:A4"/>
    <mergeCell ref="B2:B4"/>
    <mergeCell ref="C2:F2"/>
    <mergeCell ref="J2:J4"/>
    <mergeCell ref="K2:K4"/>
    <mergeCell ref="I3:I4"/>
    <mergeCell ref="P2:P3"/>
    <mergeCell ref="C3:C4"/>
    <mergeCell ref="D3:D4"/>
    <mergeCell ref="E3:E4"/>
    <mergeCell ref="F3:F4"/>
    <mergeCell ref="G3:G4"/>
    <mergeCell ref="H3:H4"/>
    <mergeCell ref="M2:M4"/>
    <mergeCell ref="N2:N4"/>
    <mergeCell ref="O2:O3"/>
    <mergeCell ref="L2:L4"/>
    <mergeCell ref="A339:B339"/>
    <mergeCell ref="A5:B5"/>
    <mergeCell ref="A304:F304"/>
    <mergeCell ref="A306:B306"/>
    <mergeCell ref="A315:B315"/>
    <mergeCell ref="A320:B320"/>
    <mergeCell ref="A325:B325"/>
  </mergeCells>
  <conditionalFormatting sqref="A323:B324 F306:F312 F315:F319 A313:F314 A328:B338 A315:A319 A321:A322 A325 A327 F321:F338 A306:A312 A7:F305">
    <cfRule type="colorScale" priority="9">
      <colorScale>
        <cfvo type="formula" val="$AS$6:$AS$319=&quot;UMUR HABIS&quot;"/>
        <cfvo type="formula" val="&quot;&gt;0&quot;"/>
        <color rgb="FFFF0000"/>
        <color theme="0"/>
      </colorScale>
    </cfRule>
  </conditionalFormatting>
  <conditionalFormatting sqref="C307:E312">
    <cfRule type="colorScale" priority="6">
      <colorScale>
        <cfvo type="formula" val="$AS$6:$AS$319=&quot;UMUR HABIS&quot;"/>
        <cfvo type="formula" val="&quot;&gt;0&quot;"/>
        <color rgb="FFFF0000"/>
        <color theme="0"/>
      </colorScale>
    </cfRule>
  </conditionalFormatting>
  <conditionalFormatting sqref="C316:E319">
    <cfRule type="colorScale" priority="5">
      <colorScale>
        <cfvo type="formula" val="$AS$6:$AS$319=&quot;UMUR HABIS&quot;"/>
        <cfvo type="formula" val="&quot;&gt;0&quot;"/>
        <color rgb="FFFF0000"/>
        <color theme="0"/>
      </colorScale>
    </cfRule>
  </conditionalFormatting>
  <conditionalFormatting sqref="C323:E324">
    <cfRule type="colorScale" priority="4">
      <colorScale>
        <cfvo type="formula" val="$AS$6:$AS$319=&quot;UMUR HABIS&quot;"/>
        <cfvo type="formula" val="&quot;&gt;0&quot;"/>
        <color rgb="FFFF0000"/>
        <color theme="0"/>
      </colorScale>
    </cfRule>
  </conditionalFormatting>
  <conditionalFormatting sqref="C328:E338">
    <cfRule type="colorScale" priority="3">
      <colorScale>
        <cfvo type="formula" val="$AS$6:$AS$319=&quot;UMUR HABIS&quot;"/>
        <cfvo type="formula" val="&quot;&gt;0&quot;"/>
        <color rgb="FFFF0000"/>
        <color theme="0"/>
      </colorScale>
    </cfRule>
  </conditionalFormatting>
  <conditionalFormatting sqref="H321:J324 H328:J338 G7:K7 G8:G338 K8:K338 H8:J319">
    <cfRule type="colorScale" priority="10">
      <colorScale>
        <cfvo type="formula" val="$AP$6:$AP$319=&quot;UMUR HABIS&quot;"/>
        <cfvo type="formula" val="&quot;&gt;0&quot;"/>
        <color rgb="FFFF0000"/>
        <color theme="0"/>
      </colorScale>
    </cfRule>
  </conditionalFormatting>
  <conditionalFormatting sqref="H325:J325">
    <cfRule type="colorScale" priority="8">
      <colorScale>
        <cfvo type="formula" val="$AP$6:$AP$319=&quot;UMUR HABIS&quot;"/>
        <cfvo type="formula" val="&quot;&gt;0&quot;"/>
        <color rgb="FFFF0000"/>
        <color theme="0"/>
      </colorScale>
    </cfRule>
  </conditionalFormatting>
  <conditionalFormatting sqref="H326:J327">
    <cfRule type="colorScale" priority="7">
      <colorScale>
        <cfvo type="formula" val="$AP$6:$AP$319=&quot;UMUR HABIS&quot;"/>
        <cfvo type="formula" val="&quot;&gt;0&quot;"/>
        <color rgb="FFFF0000"/>
        <color theme="0"/>
      </colorScale>
    </cfRule>
  </conditionalFormatting>
  <conditionalFormatting sqref="M176">
    <cfRule type="colorScale" priority="1">
      <colorScale>
        <cfvo type="formula" val="$AS$6:$AS$319=&quot;UMUR HABIS&quot;"/>
        <cfvo type="formula" val="&quot;&gt;0&quot;"/>
        <color rgb="FFFF0000"/>
        <color theme="0"/>
      </colorScale>
    </cfRule>
  </conditionalFormatting>
  <conditionalFormatting sqref="M281:M293">
    <cfRule type="colorScale" priority="2">
      <colorScale>
        <cfvo type="formula" val="$AS$6:$AS$319=&quot;UMUR HABIS&quot;"/>
        <cfvo type="formula" val="&quot;&gt;0&quot;"/>
        <color rgb="FFFF0000"/>
        <color theme="0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Angger Wicaksono</dc:creator>
  <cp:keywords/>
  <dc:description/>
  <cp:lastModifiedBy>Riyan Pradana</cp:lastModifiedBy>
  <cp:revision/>
  <cp:lastPrinted>2026-08-05T07:10:57Z</cp:lastPrinted>
  <dcterms:created xsi:type="dcterms:W3CDTF">2025-10-05T15:02:10Z</dcterms:created>
  <dcterms:modified xsi:type="dcterms:W3CDTF">2026-08-07T16:11:13Z</dcterms:modified>
  <cp:category/>
  <cp:contentStatus/>
</cp:coreProperties>
</file>